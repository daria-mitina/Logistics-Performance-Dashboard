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ia/Desktop/Logistics Power BI Project/01_Data/"/>
    </mc:Choice>
  </mc:AlternateContent>
  <xr:revisionPtr revIDLastSave="0" documentId="8_{5BA2B1C1-D937-6C4C-BED4-659D7D1AA6B9}" xr6:coauthVersionLast="47" xr6:coauthVersionMax="47" xr10:uidLastSave="{00000000-0000-0000-0000-000000000000}"/>
  <bookViews>
    <workbookView xWindow="11760" yWindow="500" windowWidth="16660" windowHeight="16180" xr2:uid="{424AD370-7981-A04F-AA35-270EEB53BF28}"/>
  </bookViews>
  <sheets>
    <sheet name="Shipme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2" i="1"/>
  <c r="I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2" i="1"/>
  <c r="G2" i="1" s="1"/>
  <c r="B2" i="1"/>
  <c r="C2" i="1" s="1"/>
  <c r="D2" i="1" s="1"/>
  <c r="O2" i="1" s="1"/>
  <c r="B3" i="1"/>
  <c r="C3" i="1" s="1"/>
  <c r="D3" i="1" s="1"/>
  <c r="O3" i="1" s="1"/>
  <c r="B4" i="1"/>
  <c r="C4" i="1" s="1"/>
  <c r="D4" i="1" s="1"/>
  <c r="O4" i="1" s="1"/>
  <c r="B5" i="1"/>
  <c r="C5" i="1" s="1"/>
  <c r="D5" i="1" s="1"/>
  <c r="O5" i="1" s="1"/>
  <c r="B6" i="1"/>
  <c r="C6" i="1" s="1"/>
  <c r="D6" i="1" s="1"/>
  <c r="O6" i="1" s="1"/>
  <c r="B7" i="1"/>
  <c r="C7" i="1" s="1"/>
  <c r="D7" i="1" s="1"/>
  <c r="O7" i="1" s="1"/>
  <c r="B8" i="1"/>
  <c r="C8" i="1" s="1"/>
  <c r="D8" i="1" s="1"/>
  <c r="O8" i="1" s="1"/>
  <c r="B9" i="1"/>
  <c r="C9" i="1" s="1"/>
  <c r="D9" i="1" s="1"/>
  <c r="O9" i="1" s="1"/>
  <c r="B10" i="1"/>
  <c r="C10" i="1" s="1"/>
  <c r="D10" i="1" s="1"/>
  <c r="O10" i="1" s="1"/>
  <c r="B11" i="1"/>
  <c r="C11" i="1" s="1"/>
  <c r="D11" i="1" s="1"/>
  <c r="O11" i="1" s="1"/>
  <c r="B12" i="1"/>
  <c r="C12" i="1" s="1"/>
  <c r="D12" i="1" s="1"/>
  <c r="O12" i="1" s="1"/>
  <c r="B13" i="1"/>
  <c r="C13" i="1" s="1"/>
  <c r="D13" i="1" s="1"/>
  <c r="O13" i="1" s="1"/>
  <c r="B14" i="1"/>
  <c r="C14" i="1" s="1"/>
  <c r="D14" i="1" s="1"/>
  <c r="O14" i="1" s="1"/>
  <c r="B15" i="1"/>
  <c r="C15" i="1" s="1"/>
  <c r="D15" i="1" s="1"/>
  <c r="O15" i="1" s="1"/>
  <c r="B16" i="1"/>
  <c r="C16" i="1" s="1"/>
  <c r="D16" i="1" s="1"/>
  <c r="O16" i="1" s="1"/>
  <c r="B17" i="1"/>
  <c r="C17" i="1" s="1"/>
  <c r="D17" i="1" s="1"/>
  <c r="O17" i="1" s="1"/>
  <c r="B18" i="1"/>
  <c r="C18" i="1" s="1"/>
  <c r="D18" i="1" s="1"/>
  <c r="O18" i="1" s="1"/>
  <c r="B19" i="1"/>
  <c r="C19" i="1" s="1"/>
  <c r="D19" i="1" s="1"/>
  <c r="O19" i="1" s="1"/>
  <c r="B20" i="1"/>
  <c r="C20" i="1" s="1"/>
  <c r="D20" i="1" s="1"/>
  <c r="O20" i="1" s="1"/>
  <c r="B21" i="1"/>
  <c r="C21" i="1" s="1"/>
  <c r="D21" i="1" s="1"/>
  <c r="O21" i="1" s="1"/>
  <c r="B22" i="1"/>
  <c r="C22" i="1" s="1"/>
  <c r="D22" i="1" s="1"/>
  <c r="O22" i="1" s="1"/>
  <c r="B23" i="1"/>
  <c r="C23" i="1" s="1"/>
  <c r="D23" i="1" s="1"/>
  <c r="O23" i="1" s="1"/>
  <c r="B24" i="1"/>
  <c r="C24" i="1" s="1"/>
  <c r="D24" i="1" s="1"/>
  <c r="O24" i="1" s="1"/>
  <c r="B25" i="1"/>
  <c r="C25" i="1" s="1"/>
  <c r="D25" i="1" s="1"/>
  <c r="O25" i="1" s="1"/>
  <c r="B26" i="1"/>
  <c r="C26" i="1" s="1"/>
  <c r="D26" i="1" s="1"/>
  <c r="O26" i="1" s="1"/>
  <c r="B27" i="1"/>
  <c r="C27" i="1" s="1"/>
  <c r="D27" i="1" s="1"/>
  <c r="O27" i="1" s="1"/>
  <c r="B28" i="1"/>
  <c r="C28" i="1" s="1"/>
  <c r="D28" i="1" s="1"/>
  <c r="O28" i="1" s="1"/>
  <c r="B29" i="1"/>
  <c r="C29" i="1" s="1"/>
  <c r="D29" i="1" s="1"/>
  <c r="O29" i="1" s="1"/>
  <c r="B30" i="1"/>
  <c r="C30" i="1" s="1"/>
  <c r="D30" i="1" s="1"/>
  <c r="O30" i="1" s="1"/>
  <c r="B31" i="1"/>
  <c r="C31" i="1" s="1"/>
  <c r="D31" i="1" s="1"/>
  <c r="O31" i="1" s="1"/>
  <c r="B32" i="1"/>
  <c r="C32" i="1" s="1"/>
  <c r="D32" i="1" s="1"/>
  <c r="O32" i="1" s="1"/>
  <c r="B33" i="1"/>
  <c r="C33" i="1" s="1"/>
  <c r="D33" i="1" s="1"/>
  <c r="O33" i="1" s="1"/>
  <c r="B34" i="1"/>
  <c r="C34" i="1" s="1"/>
  <c r="D34" i="1" s="1"/>
  <c r="O34" i="1" s="1"/>
  <c r="B35" i="1"/>
  <c r="C35" i="1" s="1"/>
  <c r="D35" i="1" s="1"/>
  <c r="O35" i="1" s="1"/>
  <c r="B36" i="1"/>
  <c r="C36" i="1" s="1"/>
  <c r="D36" i="1" s="1"/>
  <c r="O36" i="1" s="1"/>
  <c r="B37" i="1"/>
  <c r="C37" i="1" s="1"/>
  <c r="D37" i="1" s="1"/>
  <c r="O37" i="1" s="1"/>
  <c r="B38" i="1"/>
  <c r="C38" i="1" s="1"/>
  <c r="D38" i="1" s="1"/>
  <c r="O38" i="1" s="1"/>
  <c r="B39" i="1"/>
  <c r="C39" i="1" s="1"/>
  <c r="D39" i="1" s="1"/>
  <c r="O39" i="1" s="1"/>
  <c r="B40" i="1"/>
  <c r="C40" i="1" s="1"/>
  <c r="D40" i="1" s="1"/>
  <c r="O40" i="1" s="1"/>
  <c r="B41" i="1"/>
  <c r="C41" i="1" s="1"/>
  <c r="D41" i="1" s="1"/>
  <c r="O41" i="1" s="1"/>
  <c r="B42" i="1"/>
  <c r="C42" i="1" s="1"/>
  <c r="D42" i="1" s="1"/>
  <c r="O42" i="1" s="1"/>
  <c r="B43" i="1"/>
  <c r="C43" i="1" s="1"/>
  <c r="D43" i="1" s="1"/>
  <c r="O43" i="1" s="1"/>
  <c r="B44" i="1"/>
  <c r="C44" i="1" s="1"/>
  <c r="D44" i="1" s="1"/>
  <c r="O44" i="1" s="1"/>
  <c r="B45" i="1"/>
  <c r="C45" i="1" s="1"/>
  <c r="D45" i="1" s="1"/>
  <c r="O45" i="1" s="1"/>
  <c r="B46" i="1"/>
  <c r="C46" i="1" s="1"/>
  <c r="D46" i="1" s="1"/>
  <c r="O46" i="1" s="1"/>
  <c r="B47" i="1"/>
  <c r="C47" i="1" s="1"/>
  <c r="D47" i="1" s="1"/>
  <c r="O47" i="1" s="1"/>
  <c r="B48" i="1"/>
  <c r="C48" i="1" s="1"/>
  <c r="D48" i="1" s="1"/>
  <c r="O48" i="1" s="1"/>
  <c r="B49" i="1"/>
  <c r="C49" i="1" s="1"/>
  <c r="D49" i="1" s="1"/>
  <c r="O49" i="1" s="1"/>
  <c r="B50" i="1"/>
  <c r="C50" i="1" s="1"/>
  <c r="D50" i="1" s="1"/>
  <c r="O50" i="1" s="1"/>
  <c r="B51" i="1"/>
  <c r="C51" i="1" s="1"/>
  <c r="D51" i="1" s="1"/>
  <c r="O51" i="1" s="1"/>
  <c r="B52" i="1"/>
  <c r="C52" i="1" s="1"/>
  <c r="D52" i="1" s="1"/>
  <c r="O52" i="1" s="1"/>
  <c r="B53" i="1"/>
  <c r="C53" i="1" s="1"/>
  <c r="D53" i="1" s="1"/>
  <c r="O53" i="1" s="1"/>
  <c r="B54" i="1"/>
  <c r="C54" i="1" s="1"/>
  <c r="D54" i="1" s="1"/>
  <c r="O54" i="1" s="1"/>
  <c r="B55" i="1"/>
  <c r="C55" i="1" s="1"/>
  <c r="D55" i="1" s="1"/>
  <c r="O55" i="1" s="1"/>
  <c r="B56" i="1"/>
  <c r="C56" i="1" s="1"/>
  <c r="D56" i="1" s="1"/>
  <c r="O56" i="1" s="1"/>
  <c r="B57" i="1"/>
  <c r="C57" i="1" s="1"/>
  <c r="D57" i="1" s="1"/>
  <c r="O57" i="1" s="1"/>
  <c r="B58" i="1"/>
  <c r="C58" i="1" s="1"/>
  <c r="D58" i="1" s="1"/>
  <c r="O58" i="1" s="1"/>
  <c r="B59" i="1"/>
  <c r="C59" i="1" s="1"/>
  <c r="D59" i="1" s="1"/>
  <c r="O59" i="1" s="1"/>
  <c r="B60" i="1"/>
  <c r="C60" i="1" s="1"/>
  <c r="D60" i="1" s="1"/>
  <c r="O60" i="1" s="1"/>
  <c r="B61" i="1"/>
  <c r="C61" i="1" s="1"/>
  <c r="D61" i="1" s="1"/>
  <c r="O61" i="1" s="1"/>
  <c r="B62" i="1"/>
  <c r="C62" i="1" s="1"/>
  <c r="D62" i="1" s="1"/>
  <c r="O62" i="1" s="1"/>
  <c r="B63" i="1"/>
  <c r="C63" i="1" s="1"/>
  <c r="D63" i="1" s="1"/>
  <c r="O63" i="1" s="1"/>
  <c r="B64" i="1"/>
  <c r="C64" i="1" s="1"/>
  <c r="D64" i="1" s="1"/>
  <c r="O64" i="1" s="1"/>
  <c r="B65" i="1"/>
  <c r="C65" i="1" s="1"/>
  <c r="D65" i="1" s="1"/>
  <c r="O65" i="1" s="1"/>
  <c r="B66" i="1"/>
  <c r="C66" i="1" s="1"/>
  <c r="D66" i="1" s="1"/>
  <c r="O66" i="1" s="1"/>
  <c r="B67" i="1"/>
  <c r="C67" i="1" s="1"/>
  <c r="D67" i="1" s="1"/>
  <c r="O67" i="1" s="1"/>
  <c r="B68" i="1"/>
  <c r="C68" i="1" s="1"/>
  <c r="D68" i="1" s="1"/>
  <c r="O68" i="1" s="1"/>
  <c r="B69" i="1"/>
  <c r="C69" i="1" s="1"/>
  <c r="D69" i="1" s="1"/>
  <c r="O69" i="1" s="1"/>
  <c r="B70" i="1"/>
  <c r="C70" i="1" s="1"/>
  <c r="D70" i="1" s="1"/>
  <c r="O70" i="1" s="1"/>
  <c r="B71" i="1"/>
  <c r="C71" i="1" s="1"/>
  <c r="D71" i="1" s="1"/>
  <c r="O71" i="1" s="1"/>
  <c r="B72" i="1"/>
  <c r="C72" i="1" s="1"/>
  <c r="D72" i="1" s="1"/>
  <c r="O72" i="1" s="1"/>
  <c r="B73" i="1"/>
  <c r="C73" i="1" s="1"/>
  <c r="D73" i="1" s="1"/>
  <c r="O73" i="1" s="1"/>
  <c r="B74" i="1"/>
  <c r="C74" i="1" s="1"/>
  <c r="D74" i="1" s="1"/>
  <c r="O74" i="1" s="1"/>
  <c r="B75" i="1"/>
  <c r="C75" i="1" s="1"/>
  <c r="D75" i="1" s="1"/>
  <c r="O75" i="1" s="1"/>
  <c r="B76" i="1"/>
  <c r="C76" i="1" s="1"/>
  <c r="D76" i="1" s="1"/>
  <c r="O76" i="1" s="1"/>
  <c r="B77" i="1"/>
  <c r="C77" i="1" s="1"/>
  <c r="D77" i="1" s="1"/>
  <c r="O77" i="1" s="1"/>
  <c r="B78" i="1"/>
  <c r="C78" i="1" s="1"/>
  <c r="D78" i="1" s="1"/>
  <c r="O78" i="1" s="1"/>
  <c r="B79" i="1"/>
  <c r="C79" i="1" s="1"/>
  <c r="D79" i="1" s="1"/>
  <c r="O79" i="1" s="1"/>
  <c r="B80" i="1"/>
  <c r="C80" i="1" s="1"/>
  <c r="D80" i="1" s="1"/>
  <c r="O80" i="1" s="1"/>
  <c r="B81" i="1"/>
  <c r="C81" i="1" s="1"/>
  <c r="D81" i="1" s="1"/>
  <c r="O81" i="1" s="1"/>
  <c r="B82" i="1"/>
  <c r="C82" i="1" s="1"/>
  <c r="D82" i="1" s="1"/>
  <c r="O82" i="1" s="1"/>
  <c r="B83" i="1"/>
  <c r="C83" i="1" s="1"/>
  <c r="D83" i="1" s="1"/>
  <c r="O83" i="1" s="1"/>
  <c r="B84" i="1"/>
  <c r="C84" i="1" s="1"/>
  <c r="D84" i="1" s="1"/>
  <c r="O84" i="1" s="1"/>
  <c r="B85" i="1"/>
  <c r="C85" i="1" s="1"/>
  <c r="D85" i="1" s="1"/>
  <c r="O85" i="1" s="1"/>
  <c r="B86" i="1"/>
  <c r="C86" i="1" s="1"/>
  <c r="D86" i="1" s="1"/>
  <c r="O86" i="1" s="1"/>
  <c r="B87" i="1"/>
  <c r="C87" i="1" s="1"/>
  <c r="D87" i="1" s="1"/>
  <c r="O87" i="1" s="1"/>
  <c r="B88" i="1"/>
  <c r="C88" i="1" s="1"/>
  <c r="D88" i="1" s="1"/>
  <c r="O88" i="1" s="1"/>
  <c r="B89" i="1"/>
  <c r="C89" i="1" s="1"/>
  <c r="D89" i="1" s="1"/>
  <c r="O89" i="1" s="1"/>
  <c r="B90" i="1"/>
  <c r="C90" i="1" s="1"/>
  <c r="D90" i="1" s="1"/>
  <c r="O90" i="1" s="1"/>
  <c r="B91" i="1"/>
  <c r="C91" i="1" s="1"/>
  <c r="D91" i="1" s="1"/>
  <c r="O91" i="1" s="1"/>
  <c r="B92" i="1"/>
  <c r="C92" i="1" s="1"/>
  <c r="D92" i="1" s="1"/>
  <c r="O92" i="1" s="1"/>
  <c r="B93" i="1"/>
  <c r="C93" i="1" s="1"/>
  <c r="D93" i="1" s="1"/>
  <c r="O93" i="1" s="1"/>
  <c r="B94" i="1"/>
  <c r="C94" i="1" s="1"/>
  <c r="D94" i="1" s="1"/>
  <c r="O94" i="1" s="1"/>
  <c r="B95" i="1"/>
  <c r="C95" i="1" s="1"/>
  <c r="D95" i="1" s="1"/>
  <c r="O95" i="1" s="1"/>
  <c r="B96" i="1"/>
  <c r="C96" i="1" s="1"/>
  <c r="D96" i="1" s="1"/>
  <c r="O96" i="1" s="1"/>
  <c r="B97" i="1"/>
  <c r="C97" i="1" s="1"/>
  <c r="D97" i="1" s="1"/>
  <c r="O97" i="1" s="1"/>
  <c r="B98" i="1"/>
  <c r="C98" i="1" s="1"/>
  <c r="D98" i="1" s="1"/>
  <c r="O98" i="1" s="1"/>
  <c r="B99" i="1"/>
  <c r="C99" i="1" s="1"/>
  <c r="D99" i="1" s="1"/>
  <c r="O99" i="1" s="1"/>
  <c r="B100" i="1"/>
  <c r="C100" i="1" s="1"/>
  <c r="D100" i="1" s="1"/>
  <c r="O100" i="1" s="1"/>
  <c r="B101" i="1"/>
  <c r="C101" i="1" s="1"/>
  <c r="D101" i="1" s="1"/>
  <c r="O101" i="1" s="1"/>
  <c r="B102" i="1"/>
  <c r="C102" i="1" s="1"/>
  <c r="D102" i="1" s="1"/>
  <c r="O102" i="1" s="1"/>
  <c r="B103" i="1"/>
  <c r="C103" i="1" s="1"/>
  <c r="D103" i="1" s="1"/>
  <c r="O103" i="1" s="1"/>
  <c r="B104" i="1"/>
  <c r="C104" i="1" s="1"/>
  <c r="D104" i="1" s="1"/>
  <c r="O104" i="1" s="1"/>
  <c r="B105" i="1"/>
  <c r="C105" i="1" s="1"/>
  <c r="D105" i="1" s="1"/>
  <c r="O105" i="1" s="1"/>
  <c r="B106" i="1"/>
  <c r="C106" i="1" s="1"/>
  <c r="D106" i="1" s="1"/>
  <c r="O106" i="1" s="1"/>
  <c r="B107" i="1"/>
  <c r="C107" i="1" s="1"/>
  <c r="D107" i="1" s="1"/>
  <c r="O107" i="1" s="1"/>
  <c r="B108" i="1"/>
  <c r="C108" i="1" s="1"/>
  <c r="D108" i="1" s="1"/>
  <c r="O108" i="1" s="1"/>
  <c r="B109" i="1"/>
  <c r="C109" i="1" s="1"/>
  <c r="D109" i="1" s="1"/>
  <c r="O109" i="1" s="1"/>
  <c r="B110" i="1"/>
  <c r="C110" i="1" s="1"/>
  <c r="D110" i="1" s="1"/>
  <c r="O110" i="1" s="1"/>
  <c r="B111" i="1"/>
  <c r="C111" i="1" s="1"/>
  <c r="D111" i="1" s="1"/>
  <c r="O111" i="1" s="1"/>
  <c r="B112" i="1"/>
  <c r="C112" i="1" s="1"/>
  <c r="D112" i="1" s="1"/>
  <c r="O112" i="1" s="1"/>
  <c r="B113" i="1"/>
  <c r="C113" i="1" s="1"/>
  <c r="D113" i="1" s="1"/>
  <c r="O113" i="1" s="1"/>
  <c r="B114" i="1"/>
  <c r="C114" i="1" s="1"/>
  <c r="D114" i="1" s="1"/>
  <c r="O114" i="1" s="1"/>
  <c r="B115" i="1"/>
  <c r="C115" i="1" s="1"/>
  <c r="D115" i="1" s="1"/>
  <c r="O115" i="1" s="1"/>
  <c r="B116" i="1"/>
  <c r="C116" i="1" s="1"/>
  <c r="D116" i="1" s="1"/>
  <c r="O116" i="1" s="1"/>
  <c r="B117" i="1"/>
  <c r="C117" i="1" s="1"/>
  <c r="D117" i="1" s="1"/>
  <c r="O117" i="1" s="1"/>
  <c r="B118" i="1"/>
  <c r="C118" i="1" s="1"/>
  <c r="D118" i="1" s="1"/>
  <c r="O118" i="1" s="1"/>
  <c r="B119" i="1"/>
  <c r="C119" i="1" s="1"/>
  <c r="D119" i="1" s="1"/>
  <c r="O119" i="1" s="1"/>
  <c r="B120" i="1"/>
  <c r="C120" i="1" s="1"/>
  <c r="D120" i="1" s="1"/>
  <c r="O120" i="1" s="1"/>
  <c r="B121" i="1"/>
  <c r="C121" i="1" s="1"/>
  <c r="D121" i="1" s="1"/>
  <c r="O121" i="1" s="1"/>
  <c r="B122" i="1"/>
  <c r="C122" i="1" s="1"/>
  <c r="D122" i="1" s="1"/>
  <c r="O122" i="1" s="1"/>
  <c r="B123" i="1"/>
  <c r="C123" i="1" s="1"/>
  <c r="D123" i="1" s="1"/>
  <c r="O123" i="1" s="1"/>
  <c r="B124" i="1"/>
  <c r="C124" i="1" s="1"/>
  <c r="D124" i="1" s="1"/>
  <c r="O124" i="1" s="1"/>
  <c r="B125" i="1"/>
  <c r="C125" i="1" s="1"/>
  <c r="D125" i="1" s="1"/>
  <c r="O125" i="1" s="1"/>
  <c r="B126" i="1"/>
  <c r="C126" i="1" s="1"/>
  <c r="D126" i="1" s="1"/>
  <c r="O126" i="1" s="1"/>
  <c r="B127" i="1"/>
  <c r="C127" i="1" s="1"/>
  <c r="D127" i="1" s="1"/>
  <c r="O127" i="1" s="1"/>
  <c r="B128" i="1"/>
  <c r="C128" i="1" s="1"/>
  <c r="D128" i="1" s="1"/>
  <c r="O128" i="1" s="1"/>
  <c r="B129" i="1"/>
  <c r="C129" i="1" s="1"/>
  <c r="D129" i="1" s="1"/>
  <c r="O129" i="1" s="1"/>
  <c r="B130" i="1"/>
  <c r="C130" i="1" s="1"/>
  <c r="D130" i="1" s="1"/>
  <c r="O130" i="1" s="1"/>
  <c r="B131" i="1"/>
  <c r="C131" i="1" s="1"/>
  <c r="D131" i="1" s="1"/>
  <c r="O131" i="1" s="1"/>
  <c r="B132" i="1"/>
  <c r="C132" i="1" s="1"/>
  <c r="D132" i="1" s="1"/>
  <c r="O132" i="1" s="1"/>
  <c r="B133" i="1"/>
  <c r="C133" i="1" s="1"/>
  <c r="D133" i="1" s="1"/>
  <c r="O133" i="1" s="1"/>
  <c r="B134" i="1"/>
  <c r="C134" i="1" s="1"/>
  <c r="D134" i="1" s="1"/>
  <c r="O134" i="1" s="1"/>
  <c r="B135" i="1"/>
  <c r="C135" i="1" s="1"/>
  <c r="D135" i="1" s="1"/>
  <c r="O135" i="1" s="1"/>
  <c r="B136" i="1"/>
  <c r="C136" i="1" s="1"/>
  <c r="D136" i="1" s="1"/>
  <c r="O136" i="1" s="1"/>
  <c r="B137" i="1"/>
  <c r="C137" i="1" s="1"/>
  <c r="D137" i="1" s="1"/>
  <c r="O137" i="1" s="1"/>
  <c r="B138" i="1"/>
  <c r="C138" i="1" s="1"/>
  <c r="D138" i="1" s="1"/>
  <c r="O138" i="1" s="1"/>
  <c r="B139" i="1"/>
  <c r="C139" i="1" s="1"/>
  <c r="D139" i="1" s="1"/>
  <c r="O139" i="1" s="1"/>
  <c r="B140" i="1"/>
  <c r="C140" i="1" s="1"/>
  <c r="D140" i="1" s="1"/>
  <c r="O140" i="1" s="1"/>
  <c r="B141" i="1"/>
  <c r="C141" i="1" s="1"/>
  <c r="D141" i="1" s="1"/>
  <c r="O141" i="1" s="1"/>
  <c r="B142" i="1"/>
  <c r="C142" i="1" s="1"/>
  <c r="D142" i="1" s="1"/>
  <c r="O142" i="1" s="1"/>
  <c r="B143" i="1"/>
  <c r="C143" i="1" s="1"/>
  <c r="D143" i="1" s="1"/>
  <c r="O143" i="1" s="1"/>
  <c r="B144" i="1"/>
  <c r="C144" i="1" s="1"/>
  <c r="D144" i="1" s="1"/>
  <c r="O144" i="1" s="1"/>
  <c r="B145" i="1"/>
  <c r="C145" i="1" s="1"/>
  <c r="D145" i="1" s="1"/>
  <c r="O145" i="1" s="1"/>
  <c r="B146" i="1"/>
  <c r="C146" i="1" s="1"/>
  <c r="D146" i="1" s="1"/>
  <c r="O146" i="1" s="1"/>
  <c r="B147" i="1"/>
  <c r="C147" i="1" s="1"/>
  <c r="D147" i="1" s="1"/>
  <c r="O147" i="1" s="1"/>
  <c r="B148" i="1"/>
  <c r="C148" i="1" s="1"/>
  <c r="D148" i="1" s="1"/>
  <c r="O148" i="1" s="1"/>
  <c r="B149" i="1"/>
  <c r="C149" i="1" s="1"/>
  <c r="D149" i="1" s="1"/>
  <c r="O149" i="1" s="1"/>
  <c r="B150" i="1"/>
  <c r="C150" i="1" s="1"/>
  <c r="D150" i="1" s="1"/>
  <c r="O150" i="1" s="1"/>
  <c r="B151" i="1"/>
  <c r="C151" i="1" s="1"/>
  <c r="D151" i="1" s="1"/>
  <c r="O151" i="1" s="1"/>
  <c r="B152" i="1"/>
  <c r="C152" i="1" s="1"/>
  <c r="D152" i="1" s="1"/>
  <c r="O152" i="1" s="1"/>
  <c r="B153" i="1"/>
  <c r="C153" i="1" s="1"/>
  <c r="D153" i="1" s="1"/>
  <c r="O153" i="1" s="1"/>
  <c r="B154" i="1"/>
  <c r="C154" i="1" s="1"/>
  <c r="D154" i="1" s="1"/>
  <c r="O154" i="1" s="1"/>
  <c r="B155" i="1"/>
  <c r="C155" i="1" s="1"/>
  <c r="D155" i="1" s="1"/>
  <c r="O155" i="1" s="1"/>
  <c r="B156" i="1"/>
  <c r="C156" i="1" s="1"/>
  <c r="D156" i="1" s="1"/>
  <c r="O156" i="1" s="1"/>
  <c r="B157" i="1"/>
  <c r="C157" i="1" s="1"/>
  <c r="D157" i="1" s="1"/>
  <c r="O157" i="1" s="1"/>
  <c r="B158" i="1"/>
  <c r="C158" i="1" s="1"/>
  <c r="D158" i="1" s="1"/>
  <c r="O158" i="1" s="1"/>
  <c r="B159" i="1"/>
  <c r="C159" i="1" s="1"/>
  <c r="D159" i="1" s="1"/>
  <c r="O159" i="1" s="1"/>
  <c r="B160" i="1"/>
  <c r="C160" i="1" s="1"/>
  <c r="D160" i="1" s="1"/>
  <c r="O160" i="1" s="1"/>
  <c r="B161" i="1"/>
  <c r="C161" i="1" s="1"/>
  <c r="D161" i="1" s="1"/>
  <c r="O161" i="1" s="1"/>
  <c r="B162" i="1"/>
  <c r="C162" i="1" s="1"/>
  <c r="D162" i="1" s="1"/>
  <c r="O162" i="1" s="1"/>
  <c r="B163" i="1"/>
  <c r="C163" i="1" s="1"/>
  <c r="D163" i="1" s="1"/>
  <c r="O163" i="1" s="1"/>
  <c r="B164" i="1"/>
  <c r="C164" i="1" s="1"/>
  <c r="D164" i="1" s="1"/>
  <c r="O164" i="1" s="1"/>
  <c r="B165" i="1"/>
  <c r="C165" i="1" s="1"/>
  <c r="D165" i="1" s="1"/>
  <c r="O165" i="1" s="1"/>
  <c r="B166" i="1"/>
  <c r="C166" i="1" s="1"/>
  <c r="D166" i="1" s="1"/>
  <c r="O166" i="1" s="1"/>
  <c r="B167" i="1"/>
  <c r="C167" i="1" s="1"/>
  <c r="D167" i="1" s="1"/>
  <c r="O167" i="1" s="1"/>
  <c r="B168" i="1"/>
  <c r="C168" i="1" s="1"/>
  <c r="D168" i="1" s="1"/>
  <c r="O168" i="1" s="1"/>
  <c r="B169" i="1"/>
  <c r="C169" i="1" s="1"/>
  <c r="D169" i="1" s="1"/>
  <c r="O169" i="1" s="1"/>
  <c r="B170" i="1"/>
  <c r="C170" i="1" s="1"/>
  <c r="D170" i="1" s="1"/>
  <c r="O170" i="1" s="1"/>
  <c r="B171" i="1"/>
  <c r="C171" i="1" s="1"/>
  <c r="D171" i="1" s="1"/>
  <c r="O171" i="1" s="1"/>
  <c r="B172" i="1"/>
  <c r="C172" i="1" s="1"/>
  <c r="D172" i="1" s="1"/>
  <c r="O172" i="1" s="1"/>
  <c r="B173" i="1"/>
  <c r="C173" i="1" s="1"/>
  <c r="D173" i="1" s="1"/>
  <c r="O173" i="1" s="1"/>
  <c r="B174" i="1"/>
  <c r="C174" i="1" s="1"/>
  <c r="D174" i="1" s="1"/>
  <c r="O174" i="1" s="1"/>
  <c r="B175" i="1"/>
  <c r="C175" i="1" s="1"/>
  <c r="D175" i="1" s="1"/>
  <c r="O175" i="1" s="1"/>
  <c r="B176" i="1"/>
  <c r="C176" i="1" s="1"/>
  <c r="D176" i="1" s="1"/>
  <c r="O176" i="1" s="1"/>
  <c r="B177" i="1"/>
  <c r="C177" i="1" s="1"/>
  <c r="D177" i="1" s="1"/>
  <c r="O177" i="1" s="1"/>
  <c r="B178" i="1"/>
  <c r="C178" i="1" s="1"/>
  <c r="D178" i="1" s="1"/>
  <c r="O178" i="1" s="1"/>
  <c r="B179" i="1"/>
  <c r="C179" i="1" s="1"/>
  <c r="D179" i="1" s="1"/>
  <c r="O179" i="1" s="1"/>
  <c r="B180" i="1"/>
  <c r="C180" i="1" s="1"/>
  <c r="D180" i="1" s="1"/>
  <c r="O180" i="1" s="1"/>
  <c r="B181" i="1"/>
  <c r="C181" i="1" s="1"/>
  <c r="D181" i="1" s="1"/>
  <c r="O181" i="1" s="1"/>
  <c r="B182" i="1"/>
  <c r="C182" i="1" s="1"/>
  <c r="D182" i="1" s="1"/>
  <c r="O182" i="1" s="1"/>
  <c r="B183" i="1"/>
  <c r="C183" i="1" s="1"/>
  <c r="D183" i="1" s="1"/>
  <c r="O183" i="1" s="1"/>
  <c r="B184" i="1"/>
  <c r="C184" i="1" s="1"/>
  <c r="D184" i="1" s="1"/>
  <c r="O184" i="1" s="1"/>
  <c r="B185" i="1"/>
  <c r="C185" i="1" s="1"/>
  <c r="D185" i="1" s="1"/>
  <c r="O185" i="1" s="1"/>
  <c r="B186" i="1"/>
  <c r="C186" i="1" s="1"/>
  <c r="D186" i="1" s="1"/>
  <c r="O186" i="1" s="1"/>
  <c r="B187" i="1"/>
  <c r="C187" i="1" s="1"/>
  <c r="D187" i="1" s="1"/>
  <c r="O187" i="1" s="1"/>
  <c r="B188" i="1"/>
  <c r="C188" i="1" s="1"/>
  <c r="D188" i="1" s="1"/>
  <c r="O188" i="1" s="1"/>
  <c r="B189" i="1"/>
  <c r="C189" i="1" s="1"/>
  <c r="D189" i="1" s="1"/>
  <c r="O189" i="1" s="1"/>
  <c r="B190" i="1"/>
  <c r="C190" i="1" s="1"/>
  <c r="D190" i="1" s="1"/>
  <c r="O190" i="1" s="1"/>
  <c r="B191" i="1"/>
  <c r="C191" i="1" s="1"/>
  <c r="D191" i="1" s="1"/>
  <c r="O191" i="1" s="1"/>
  <c r="B192" i="1"/>
  <c r="C192" i="1" s="1"/>
  <c r="D192" i="1" s="1"/>
  <c r="O192" i="1" s="1"/>
  <c r="B193" i="1"/>
  <c r="C193" i="1" s="1"/>
  <c r="D193" i="1" s="1"/>
  <c r="O193" i="1" s="1"/>
  <c r="B194" i="1"/>
  <c r="C194" i="1" s="1"/>
  <c r="D194" i="1" s="1"/>
  <c r="O194" i="1" s="1"/>
  <c r="B195" i="1"/>
  <c r="C195" i="1" s="1"/>
  <c r="D195" i="1" s="1"/>
  <c r="O195" i="1" s="1"/>
  <c r="B196" i="1"/>
  <c r="C196" i="1" s="1"/>
  <c r="D196" i="1" s="1"/>
  <c r="O196" i="1" s="1"/>
  <c r="B197" i="1"/>
  <c r="C197" i="1" s="1"/>
  <c r="D197" i="1" s="1"/>
  <c r="O197" i="1" s="1"/>
  <c r="B198" i="1"/>
  <c r="C198" i="1" s="1"/>
  <c r="D198" i="1" s="1"/>
  <c r="O198" i="1" s="1"/>
  <c r="B199" i="1"/>
  <c r="C199" i="1" s="1"/>
  <c r="D199" i="1" s="1"/>
  <c r="O199" i="1" s="1"/>
  <c r="B200" i="1"/>
  <c r="C200" i="1" s="1"/>
  <c r="D200" i="1" s="1"/>
  <c r="O200" i="1" s="1"/>
  <c r="B201" i="1"/>
  <c r="C201" i="1" s="1"/>
  <c r="D201" i="1" s="1"/>
  <c r="O201" i="1" s="1"/>
  <c r="B202" i="1"/>
  <c r="C202" i="1" s="1"/>
  <c r="D202" i="1" s="1"/>
  <c r="O202" i="1" s="1"/>
  <c r="B203" i="1"/>
  <c r="C203" i="1" s="1"/>
  <c r="D203" i="1" s="1"/>
  <c r="O203" i="1" s="1"/>
  <c r="B204" i="1"/>
  <c r="C204" i="1" s="1"/>
  <c r="D204" i="1" s="1"/>
  <c r="O204" i="1" s="1"/>
  <c r="B205" i="1"/>
  <c r="C205" i="1" s="1"/>
  <c r="D205" i="1" s="1"/>
  <c r="O205" i="1" s="1"/>
  <c r="B206" i="1"/>
  <c r="C206" i="1" s="1"/>
  <c r="D206" i="1" s="1"/>
  <c r="O206" i="1" s="1"/>
  <c r="B207" i="1"/>
  <c r="C207" i="1" s="1"/>
  <c r="D207" i="1" s="1"/>
  <c r="O207" i="1" s="1"/>
  <c r="B208" i="1"/>
  <c r="C208" i="1" s="1"/>
  <c r="D208" i="1" s="1"/>
  <c r="O208" i="1" s="1"/>
  <c r="B209" i="1"/>
  <c r="C209" i="1" s="1"/>
  <c r="D209" i="1" s="1"/>
  <c r="O209" i="1" s="1"/>
  <c r="B210" i="1"/>
  <c r="C210" i="1" s="1"/>
  <c r="D210" i="1" s="1"/>
  <c r="O210" i="1" s="1"/>
  <c r="B211" i="1"/>
  <c r="C211" i="1" s="1"/>
  <c r="D211" i="1" s="1"/>
  <c r="O211" i="1" s="1"/>
  <c r="B212" i="1"/>
  <c r="C212" i="1" s="1"/>
  <c r="D212" i="1" s="1"/>
  <c r="O212" i="1" s="1"/>
  <c r="B213" i="1"/>
  <c r="C213" i="1" s="1"/>
  <c r="D213" i="1" s="1"/>
  <c r="O213" i="1" s="1"/>
  <c r="B214" i="1"/>
  <c r="C214" i="1" s="1"/>
  <c r="D214" i="1" s="1"/>
  <c r="O214" i="1" s="1"/>
  <c r="B215" i="1"/>
  <c r="C215" i="1" s="1"/>
  <c r="D215" i="1" s="1"/>
  <c r="O215" i="1" s="1"/>
  <c r="B216" i="1"/>
  <c r="C216" i="1" s="1"/>
  <c r="D216" i="1" s="1"/>
  <c r="O216" i="1" s="1"/>
  <c r="B217" i="1"/>
  <c r="C217" i="1" s="1"/>
  <c r="D217" i="1" s="1"/>
  <c r="O217" i="1" s="1"/>
  <c r="B218" i="1"/>
  <c r="C218" i="1" s="1"/>
  <c r="D218" i="1" s="1"/>
  <c r="O218" i="1" s="1"/>
  <c r="B219" i="1"/>
  <c r="C219" i="1" s="1"/>
  <c r="D219" i="1" s="1"/>
  <c r="O219" i="1" s="1"/>
  <c r="B220" i="1"/>
  <c r="C220" i="1" s="1"/>
  <c r="D220" i="1" s="1"/>
  <c r="O220" i="1" s="1"/>
  <c r="B221" i="1"/>
  <c r="C221" i="1" s="1"/>
  <c r="D221" i="1" s="1"/>
  <c r="O221" i="1" s="1"/>
  <c r="B222" i="1"/>
  <c r="C222" i="1" s="1"/>
  <c r="D222" i="1" s="1"/>
  <c r="O222" i="1" s="1"/>
  <c r="B223" i="1"/>
  <c r="C223" i="1" s="1"/>
  <c r="D223" i="1" s="1"/>
  <c r="O223" i="1" s="1"/>
  <c r="B224" i="1"/>
  <c r="C224" i="1" s="1"/>
  <c r="D224" i="1" s="1"/>
  <c r="O224" i="1" s="1"/>
  <c r="B225" i="1"/>
  <c r="C225" i="1" s="1"/>
  <c r="D225" i="1" s="1"/>
  <c r="O225" i="1" s="1"/>
  <c r="B226" i="1"/>
  <c r="C226" i="1" s="1"/>
  <c r="D226" i="1" s="1"/>
  <c r="O226" i="1" s="1"/>
  <c r="B227" i="1"/>
  <c r="C227" i="1" s="1"/>
  <c r="D227" i="1" s="1"/>
  <c r="O227" i="1" s="1"/>
  <c r="B228" i="1"/>
  <c r="C228" i="1" s="1"/>
  <c r="D228" i="1" s="1"/>
  <c r="O228" i="1" s="1"/>
  <c r="B229" i="1"/>
  <c r="C229" i="1" s="1"/>
  <c r="D229" i="1" s="1"/>
  <c r="O229" i="1" s="1"/>
  <c r="B230" i="1"/>
  <c r="C230" i="1" s="1"/>
  <c r="D230" i="1" s="1"/>
  <c r="O230" i="1" s="1"/>
  <c r="B231" i="1"/>
  <c r="C231" i="1" s="1"/>
  <c r="D231" i="1" s="1"/>
  <c r="O231" i="1" s="1"/>
  <c r="B232" i="1"/>
  <c r="C232" i="1" s="1"/>
  <c r="D232" i="1" s="1"/>
  <c r="O232" i="1" s="1"/>
  <c r="B233" i="1"/>
  <c r="C233" i="1" s="1"/>
  <c r="D233" i="1" s="1"/>
  <c r="O233" i="1" s="1"/>
  <c r="B234" i="1"/>
  <c r="C234" i="1" s="1"/>
  <c r="D234" i="1" s="1"/>
  <c r="O234" i="1" s="1"/>
  <c r="B235" i="1"/>
  <c r="C235" i="1" s="1"/>
  <c r="D235" i="1" s="1"/>
  <c r="O235" i="1" s="1"/>
  <c r="B236" i="1"/>
  <c r="C236" i="1" s="1"/>
  <c r="D236" i="1" s="1"/>
  <c r="O236" i="1" s="1"/>
  <c r="B237" i="1"/>
  <c r="C237" i="1" s="1"/>
  <c r="D237" i="1" s="1"/>
  <c r="O237" i="1" s="1"/>
  <c r="B238" i="1"/>
  <c r="C238" i="1" s="1"/>
  <c r="D238" i="1" s="1"/>
  <c r="O238" i="1" s="1"/>
  <c r="B239" i="1"/>
  <c r="C239" i="1" s="1"/>
  <c r="D239" i="1" s="1"/>
  <c r="O239" i="1" s="1"/>
  <c r="B240" i="1"/>
  <c r="C240" i="1" s="1"/>
  <c r="D240" i="1" s="1"/>
  <c r="O240" i="1" s="1"/>
  <c r="B241" i="1"/>
  <c r="C241" i="1" s="1"/>
  <c r="D241" i="1" s="1"/>
  <c r="O241" i="1" s="1"/>
  <c r="B242" i="1"/>
  <c r="C242" i="1" s="1"/>
  <c r="D242" i="1" s="1"/>
  <c r="O242" i="1" s="1"/>
  <c r="B243" i="1"/>
  <c r="C243" i="1" s="1"/>
  <c r="D243" i="1" s="1"/>
  <c r="O243" i="1" s="1"/>
  <c r="B244" i="1"/>
  <c r="C244" i="1" s="1"/>
  <c r="D244" i="1" s="1"/>
  <c r="O244" i="1" s="1"/>
  <c r="B245" i="1"/>
  <c r="C245" i="1" s="1"/>
  <c r="D245" i="1" s="1"/>
  <c r="O245" i="1" s="1"/>
  <c r="B246" i="1"/>
  <c r="C246" i="1" s="1"/>
  <c r="D246" i="1" s="1"/>
  <c r="O246" i="1" s="1"/>
  <c r="B247" i="1"/>
  <c r="C247" i="1" s="1"/>
  <c r="D247" i="1" s="1"/>
  <c r="O247" i="1" s="1"/>
  <c r="B248" i="1"/>
  <c r="C248" i="1" s="1"/>
  <c r="D248" i="1" s="1"/>
  <c r="O248" i="1" s="1"/>
  <c r="B249" i="1"/>
  <c r="C249" i="1" s="1"/>
  <c r="D249" i="1" s="1"/>
  <c r="O249" i="1" s="1"/>
  <c r="B250" i="1"/>
  <c r="C250" i="1" s="1"/>
  <c r="D250" i="1" s="1"/>
  <c r="O250" i="1" s="1"/>
  <c r="B251" i="1"/>
  <c r="C251" i="1" s="1"/>
  <c r="D251" i="1" s="1"/>
  <c r="O251" i="1" s="1"/>
  <c r="B252" i="1"/>
  <c r="C252" i="1" s="1"/>
  <c r="D252" i="1" s="1"/>
  <c r="O252" i="1" s="1"/>
  <c r="B253" i="1"/>
  <c r="C253" i="1" s="1"/>
  <c r="D253" i="1" s="1"/>
  <c r="O253" i="1" s="1"/>
  <c r="B254" i="1"/>
  <c r="C254" i="1" s="1"/>
  <c r="D254" i="1" s="1"/>
  <c r="O254" i="1" s="1"/>
  <c r="B255" i="1"/>
  <c r="C255" i="1" s="1"/>
  <c r="D255" i="1" s="1"/>
  <c r="O255" i="1" s="1"/>
  <c r="B256" i="1"/>
  <c r="C256" i="1" s="1"/>
  <c r="D256" i="1" s="1"/>
  <c r="O256" i="1" s="1"/>
  <c r="B257" i="1"/>
  <c r="C257" i="1" s="1"/>
  <c r="D257" i="1" s="1"/>
  <c r="O257" i="1" s="1"/>
  <c r="B258" i="1"/>
  <c r="C258" i="1" s="1"/>
  <c r="D258" i="1" s="1"/>
  <c r="O258" i="1" s="1"/>
  <c r="B259" i="1"/>
  <c r="C259" i="1" s="1"/>
  <c r="D259" i="1" s="1"/>
  <c r="O259" i="1" s="1"/>
  <c r="B260" i="1"/>
  <c r="C260" i="1" s="1"/>
  <c r="D260" i="1" s="1"/>
  <c r="O260" i="1" s="1"/>
  <c r="B261" i="1"/>
  <c r="C261" i="1" s="1"/>
  <c r="D261" i="1" s="1"/>
  <c r="O261" i="1" s="1"/>
  <c r="B262" i="1"/>
  <c r="C262" i="1" s="1"/>
  <c r="D262" i="1" s="1"/>
  <c r="O262" i="1" s="1"/>
  <c r="B263" i="1"/>
  <c r="C263" i="1" s="1"/>
  <c r="D263" i="1" s="1"/>
  <c r="O263" i="1" s="1"/>
  <c r="B264" i="1"/>
  <c r="C264" i="1" s="1"/>
  <c r="D264" i="1" s="1"/>
  <c r="O264" i="1" s="1"/>
  <c r="B265" i="1"/>
  <c r="C265" i="1" s="1"/>
  <c r="D265" i="1" s="1"/>
  <c r="O265" i="1" s="1"/>
  <c r="B266" i="1"/>
  <c r="C266" i="1" s="1"/>
  <c r="D266" i="1" s="1"/>
  <c r="O266" i="1" s="1"/>
  <c r="B267" i="1"/>
  <c r="C267" i="1" s="1"/>
  <c r="D267" i="1" s="1"/>
  <c r="O267" i="1" s="1"/>
  <c r="B268" i="1"/>
  <c r="C268" i="1" s="1"/>
  <c r="D268" i="1" s="1"/>
  <c r="O268" i="1" s="1"/>
  <c r="B269" i="1"/>
  <c r="C269" i="1" s="1"/>
  <c r="D269" i="1" s="1"/>
  <c r="O269" i="1" s="1"/>
  <c r="B270" i="1"/>
  <c r="C270" i="1" s="1"/>
  <c r="D270" i="1" s="1"/>
  <c r="O270" i="1" s="1"/>
  <c r="B271" i="1"/>
  <c r="C271" i="1" s="1"/>
  <c r="D271" i="1" s="1"/>
  <c r="O271" i="1" s="1"/>
  <c r="B272" i="1"/>
  <c r="C272" i="1" s="1"/>
  <c r="D272" i="1" s="1"/>
  <c r="O272" i="1" s="1"/>
  <c r="B273" i="1"/>
  <c r="C273" i="1" s="1"/>
  <c r="D273" i="1" s="1"/>
  <c r="O273" i="1" s="1"/>
  <c r="B274" i="1"/>
  <c r="C274" i="1" s="1"/>
  <c r="D274" i="1" s="1"/>
  <c r="O274" i="1" s="1"/>
  <c r="B275" i="1"/>
  <c r="C275" i="1" s="1"/>
  <c r="D275" i="1" s="1"/>
  <c r="O275" i="1" s="1"/>
  <c r="B276" i="1"/>
  <c r="C276" i="1" s="1"/>
  <c r="D276" i="1" s="1"/>
  <c r="O276" i="1" s="1"/>
  <c r="B277" i="1"/>
  <c r="C277" i="1" s="1"/>
  <c r="D277" i="1" s="1"/>
  <c r="O277" i="1" s="1"/>
  <c r="B278" i="1"/>
  <c r="C278" i="1" s="1"/>
  <c r="D278" i="1" s="1"/>
  <c r="O278" i="1" s="1"/>
  <c r="B279" i="1"/>
  <c r="C279" i="1" s="1"/>
  <c r="D279" i="1" s="1"/>
  <c r="O279" i="1" s="1"/>
  <c r="B280" i="1"/>
  <c r="C280" i="1" s="1"/>
  <c r="D280" i="1" s="1"/>
  <c r="O280" i="1" s="1"/>
  <c r="B281" i="1"/>
  <c r="C281" i="1" s="1"/>
  <c r="D281" i="1" s="1"/>
  <c r="O281" i="1" s="1"/>
  <c r="B282" i="1"/>
  <c r="C282" i="1" s="1"/>
  <c r="D282" i="1" s="1"/>
  <c r="O282" i="1" s="1"/>
  <c r="B283" i="1"/>
  <c r="C283" i="1" s="1"/>
  <c r="D283" i="1" s="1"/>
  <c r="O283" i="1" s="1"/>
  <c r="B284" i="1"/>
  <c r="C284" i="1" s="1"/>
  <c r="D284" i="1" s="1"/>
  <c r="O284" i="1" s="1"/>
  <c r="B285" i="1"/>
  <c r="C285" i="1" s="1"/>
  <c r="D285" i="1" s="1"/>
  <c r="O285" i="1" s="1"/>
  <c r="B286" i="1"/>
  <c r="C286" i="1" s="1"/>
  <c r="D286" i="1" s="1"/>
  <c r="O286" i="1" s="1"/>
  <c r="B287" i="1"/>
  <c r="C287" i="1" s="1"/>
  <c r="D287" i="1" s="1"/>
  <c r="O287" i="1" s="1"/>
  <c r="B288" i="1"/>
  <c r="C288" i="1" s="1"/>
  <c r="D288" i="1" s="1"/>
  <c r="O288" i="1" s="1"/>
  <c r="B289" i="1"/>
  <c r="C289" i="1" s="1"/>
  <c r="D289" i="1" s="1"/>
  <c r="O289" i="1" s="1"/>
  <c r="B290" i="1"/>
  <c r="C290" i="1" s="1"/>
  <c r="D290" i="1" s="1"/>
  <c r="O290" i="1" s="1"/>
  <c r="B291" i="1"/>
  <c r="C291" i="1" s="1"/>
  <c r="D291" i="1" s="1"/>
  <c r="O291" i="1" s="1"/>
  <c r="B292" i="1"/>
  <c r="C292" i="1" s="1"/>
  <c r="D292" i="1" s="1"/>
  <c r="O292" i="1" s="1"/>
  <c r="B293" i="1"/>
  <c r="C293" i="1" s="1"/>
  <c r="D293" i="1" s="1"/>
  <c r="O293" i="1" s="1"/>
  <c r="B294" i="1"/>
  <c r="C294" i="1" s="1"/>
  <c r="D294" i="1" s="1"/>
  <c r="O294" i="1" s="1"/>
  <c r="B295" i="1"/>
  <c r="C295" i="1" s="1"/>
  <c r="D295" i="1" s="1"/>
  <c r="O295" i="1" s="1"/>
  <c r="B296" i="1"/>
  <c r="C296" i="1" s="1"/>
  <c r="D296" i="1" s="1"/>
  <c r="O296" i="1" s="1"/>
  <c r="B297" i="1"/>
  <c r="C297" i="1" s="1"/>
  <c r="D297" i="1" s="1"/>
  <c r="O297" i="1" s="1"/>
  <c r="B298" i="1"/>
  <c r="C298" i="1" s="1"/>
  <c r="D298" i="1" s="1"/>
  <c r="O298" i="1" s="1"/>
  <c r="B299" i="1"/>
  <c r="C299" i="1" s="1"/>
  <c r="D299" i="1" s="1"/>
  <c r="O299" i="1" s="1"/>
  <c r="B300" i="1"/>
  <c r="C300" i="1" s="1"/>
  <c r="D300" i="1" s="1"/>
  <c r="O300" i="1" s="1"/>
  <c r="B301" i="1"/>
  <c r="C301" i="1" s="1"/>
  <c r="D301" i="1" s="1"/>
  <c r="O301" i="1" s="1"/>
  <c r="Q297" i="1" l="1"/>
  <c r="Q289" i="1"/>
  <c r="Q281" i="1"/>
  <c r="Q273" i="1"/>
  <c r="Q265" i="1"/>
  <c r="Q257" i="1"/>
  <c r="Q249" i="1"/>
  <c r="Q241" i="1"/>
  <c r="Q233" i="1"/>
  <c r="Q225" i="1"/>
  <c r="Q217" i="1"/>
  <c r="Q209" i="1"/>
  <c r="Q201" i="1"/>
  <c r="Q193" i="1"/>
  <c r="Q185" i="1"/>
  <c r="Q177" i="1"/>
  <c r="Q169" i="1"/>
  <c r="Q161" i="1"/>
  <c r="Q153" i="1"/>
  <c r="Q145" i="1"/>
  <c r="Q137" i="1"/>
  <c r="Q129" i="1"/>
  <c r="Q121" i="1"/>
  <c r="Q113" i="1"/>
  <c r="Q105" i="1"/>
  <c r="Q97" i="1"/>
  <c r="Q89" i="1"/>
  <c r="Q81" i="1"/>
  <c r="Q73" i="1"/>
  <c r="Q65" i="1"/>
  <c r="Q57" i="1"/>
  <c r="Q49" i="1"/>
  <c r="Q41" i="1"/>
  <c r="Q33" i="1"/>
  <c r="Q25" i="1"/>
  <c r="Q17" i="1"/>
  <c r="Q9" i="1"/>
  <c r="Q296" i="1"/>
  <c r="Q288" i="1"/>
  <c r="Q280" i="1"/>
  <c r="Q272" i="1"/>
  <c r="Q264" i="1"/>
  <c r="Q256" i="1"/>
  <c r="Q248" i="1"/>
  <c r="Q240" i="1"/>
  <c r="Q232" i="1"/>
  <c r="Q224" i="1"/>
  <c r="Q216" i="1"/>
  <c r="Q208" i="1"/>
  <c r="Q200" i="1"/>
  <c r="Q192" i="1"/>
  <c r="Q184" i="1"/>
  <c r="Q176" i="1"/>
  <c r="Q168" i="1"/>
  <c r="Q160" i="1"/>
  <c r="Q152" i="1"/>
  <c r="Q144" i="1"/>
  <c r="Q136" i="1"/>
  <c r="Q128" i="1"/>
  <c r="Q120" i="1"/>
  <c r="Q112" i="1"/>
  <c r="Q104" i="1"/>
  <c r="Q96" i="1"/>
  <c r="Q88" i="1"/>
  <c r="Q80" i="1"/>
  <c r="Q72" i="1"/>
  <c r="Q64" i="1"/>
  <c r="Q56" i="1"/>
  <c r="Q48" i="1"/>
  <c r="Q40" i="1"/>
  <c r="Q32" i="1"/>
  <c r="Q24" i="1"/>
  <c r="Q16" i="1"/>
  <c r="Q8" i="1"/>
  <c r="Q295" i="1"/>
  <c r="Q287" i="1"/>
  <c r="Q279" i="1"/>
  <c r="Q271" i="1"/>
  <c r="Q263" i="1"/>
  <c r="Q255" i="1"/>
  <c r="Q247" i="1"/>
  <c r="Q239" i="1"/>
  <c r="Q231" i="1"/>
  <c r="Q223" i="1"/>
  <c r="Q215" i="1"/>
  <c r="Q207" i="1"/>
  <c r="Q199" i="1"/>
  <c r="Q191" i="1"/>
  <c r="Q183" i="1"/>
  <c r="Q175" i="1"/>
  <c r="Q167" i="1"/>
  <c r="Q159" i="1"/>
  <c r="Q151" i="1"/>
  <c r="Q143" i="1"/>
  <c r="Q135" i="1"/>
  <c r="Q127" i="1"/>
  <c r="Q119" i="1"/>
  <c r="Q111" i="1"/>
  <c r="Q103" i="1"/>
  <c r="Q95" i="1"/>
  <c r="Q87" i="1"/>
  <c r="Q79" i="1"/>
  <c r="Q71" i="1"/>
  <c r="Q63" i="1"/>
  <c r="Q55" i="1"/>
  <c r="Q47" i="1"/>
  <c r="Q39" i="1"/>
  <c r="Q31" i="1"/>
  <c r="Q23" i="1"/>
  <c r="Q15" i="1"/>
  <c r="Q7" i="1"/>
  <c r="Q294" i="1"/>
  <c r="Q286" i="1"/>
  <c r="Q278" i="1"/>
  <c r="Q270" i="1"/>
  <c r="Q262" i="1"/>
  <c r="Q254" i="1"/>
  <c r="Q246" i="1"/>
  <c r="Q238" i="1"/>
  <c r="Q230" i="1"/>
  <c r="Q222" i="1"/>
  <c r="Q214" i="1"/>
  <c r="Q206" i="1"/>
  <c r="Q198" i="1"/>
  <c r="Q190" i="1"/>
  <c r="Q182" i="1"/>
  <c r="Q174" i="1"/>
  <c r="Q166" i="1"/>
  <c r="Q158" i="1"/>
  <c r="Q150" i="1"/>
  <c r="Q142" i="1"/>
  <c r="Q134" i="1"/>
  <c r="Q126" i="1"/>
  <c r="Q118" i="1"/>
  <c r="Q110" i="1"/>
  <c r="Q102" i="1"/>
  <c r="Q94" i="1"/>
  <c r="Q86" i="1"/>
  <c r="Q78" i="1"/>
  <c r="Q70" i="1"/>
  <c r="Q62" i="1"/>
  <c r="Q54" i="1"/>
  <c r="Q46" i="1"/>
  <c r="Q38" i="1"/>
  <c r="Q30" i="1"/>
  <c r="Q22" i="1"/>
  <c r="Q14" i="1"/>
  <c r="Q6" i="1"/>
  <c r="Q301" i="1"/>
  <c r="Q293" i="1"/>
  <c r="Q285" i="1"/>
  <c r="Q277" i="1"/>
  <c r="Q269" i="1"/>
  <c r="Q261" i="1"/>
  <c r="Q253" i="1"/>
  <c r="Q245" i="1"/>
  <c r="Q237" i="1"/>
  <c r="Q229" i="1"/>
  <c r="Q221" i="1"/>
  <c r="Q213" i="1"/>
  <c r="Q205" i="1"/>
  <c r="Q197" i="1"/>
  <c r="Q189" i="1"/>
  <c r="Q181" i="1"/>
  <c r="Q173" i="1"/>
  <c r="Q165" i="1"/>
  <c r="Q157" i="1"/>
  <c r="Q149" i="1"/>
  <c r="Q141" i="1"/>
  <c r="Q133" i="1"/>
  <c r="Q125" i="1"/>
  <c r="Q117" i="1"/>
  <c r="Q109" i="1"/>
  <c r="Q101" i="1"/>
  <c r="Q93" i="1"/>
  <c r="Q85" i="1"/>
  <c r="Q77" i="1"/>
  <c r="Q69" i="1"/>
  <c r="Q61" i="1"/>
  <c r="Q53" i="1"/>
  <c r="Q45" i="1"/>
  <c r="Q37" i="1"/>
  <c r="Q29" i="1"/>
  <c r="Q21" i="1"/>
  <c r="Q13" i="1"/>
  <c r="Q5" i="1"/>
  <c r="Q300" i="1"/>
  <c r="Q292" i="1"/>
  <c r="Q284" i="1"/>
  <c r="Q276" i="1"/>
  <c r="Q268" i="1"/>
  <c r="Q260" i="1"/>
  <c r="Q252" i="1"/>
  <c r="Q244" i="1"/>
  <c r="Q236" i="1"/>
  <c r="Q228" i="1"/>
  <c r="Q220" i="1"/>
  <c r="Q212" i="1"/>
  <c r="Q204" i="1"/>
  <c r="Q196" i="1"/>
  <c r="Q188" i="1"/>
  <c r="Q180" i="1"/>
  <c r="Q172" i="1"/>
  <c r="Q164" i="1"/>
  <c r="Q156" i="1"/>
  <c r="Q148" i="1"/>
  <c r="Q140" i="1"/>
  <c r="Q132" i="1"/>
  <c r="Q124" i="1"/>
  <c r="Q116" i="1"/>
  <c r="Q108" i="1"/>
  <c r="Q100" i="1"/>
  <c r="Q92" i="1"/>
  <c r="Q84" i="1"/>
  <c r="Q76" i="1"/>
  <c r="Q68" i="1"/>
  <c r="Q60" i="1"/>
  <c r="Q52" i="1"/>
  <c r="Q44" i="1"/>
  <c r="Q36" i="1"/>
  <c r="Q28" i="1"/>
  <c r="Q20" i="1"/>
  <c r="Q12" i="1"/>
  <c r="Q4" i="1"/>
  <c r="Q299" i="1"/>
  <c r="Q291" i="1"/>
  <c r="Q283" i="1"/>
  <c r="Q275" i="1"/>
  <c r="Q267" i="1"/>
  <c r="Q259" i="1"/>
  <c r="Q251" i="1"/>
  <c r="Q243" i="1"/>
  <c r="Q235" i="1"/>
  <c r="Q227" i="1"/>
  <c r="Q219" i="1"/>
  <c r="Q211" i="1"/>
  <c r="Q203" i="1"/>
  <c r="Q195" i="1"/>
  <c r="Q187" i="1"/>
  <c r="Q179" i="1"/>
  <c r="Q171" i="1"/>
  <c r="Q163" i="1"/>
  <c r="Q155" i="1"/>
  <c r="Q147" i="1"/>
  <c r="Q139" i="1"/>
  <c r="Q131" i="1"/>
  <c r="Q123" i="1"/>
  <c r="Q115" i="1"/>
  <c r="Q107" i="1"/>
  <c r="Q99" i="1"/>
  <c r="Q91" i="1"/>
  <c r="Q83" i="1"/>
  <c r="Q75" i="1"/>
  <c r="Q67" i="1"/>
  <c r="Q59" i="1"/>
  <c r="Q51" i="1"/>
  <c r="Q43" i="1"/>
  <c r="Q35" i="1"/>
  <c r="Q27" i="1"/>
  <c r="Q19" i="1"/>
  <c r="Q11" i="1"/>
  <c r="Q3" i="1"/>
  <c r="Q298" i="1"/>
  <c r="Q290" i="1"/>
  <c r="Q282" i="1"/>
  <c r="Q274" i="1"/>
  <c r="Q266" i="1"/>
  <c r="Q258" i="1"/>
  <c r="Q250" i="1"/>
  <c r="Q242" i="1"/>
  <c r="Q234" i="1"/>
  <c r="Q226" i="1"/>
  <c r="Q218" i="1"/>
  <c r="Q210" i="1"/>
  <c r="Q202" i="1"/>
  <c r="Q194" i="1"/>
  <c r="Q186" i="1"/>
  <c r="Q178" i="1"/>
  <c r="Q170" i="1"/>
  <c r="Q162" i="1"/>
  <c r="Q154" i="1"/>
  <c r="Q146" i="1"/>
  <c r="Q138" i="1"/>
  <c r="Q130" i="1"/>
  <c r="Q122" i="1"/>
  <c r="Q114" i="1"/>
  <c r="Q106" i="1"/>
  <c r="Q98" i="1"/>
  <c r="Q90" i="1"/>
  <c r="Q82" i="1"/>
  <c r="Q74" i="1"/>
  <c r="Q66" i="1"/>
  <c r="Q58" i="1"/>
  <c r="Q50" i="1"/>
  <c r="Q42" i="1"/>
  <c r="Q34" i="1"/>
  <c r="Q26" i="1"/>
  <c r="Q18" i="1"/>
  <c r="Q10" i="1"/>
  <c r="Q2" i="1"/>
  <c r="P297" i="1"/>
  <c r="P289" i="1"/>
  <c r="P281" i="1"/>
  <c r="P273" i="1"/>
  <c r="P265" i="1"/>
  <c r="P257" i="1"/>
  <c r="P249" i="1"/>
  <c r="P241" i="1"/>
  <c r="P233" i="1"/>
  <c r="P225" i="1"/>
  <c r="P217" i="1"/>
  <c r="P209" i="1"/>
  <c r="P201" i="1"/>
  <c r="P193" i="1"/>
  <c r="P185" i="1"/>
  <c r="P177" i="1"/>
  <c r="P169" i="1"/>
  <c r="P161" i="1"/>
  <c r="P153" i="1"/>
  <c r="P145" i="1"/>
  <c r="P137" i="1"/>
  <c r="P129" i="1"/>
  <c r="P121" i="1"/>
  <c r="P113" i="1"/>
  <c r="P105" i="1"/>
  <c r="P97" i="1"/>
  <c r="P89" i="1"/>
  <c r="P81" i="1"/>
  <c r="P73" i="1"/>
  <c r="P65" i="1"/>
  <c r="P57" i="1"/>
  <c r="P49" i="1"/>
  <c r="P41" i="1"/>
  <c r="P33" i="1"/>
  <c r="P25" i="1"/>
  <c r="P17" i="1"/>
  <c r="P9" i="1"/>
  <c r="P296" i="1"/>
  <c r="P288" i="1"/>
  <c r="P280" i="1"/>
  <c r="P272" i="1"/>
  <c r="P264" i="1"/>
  <c r="P256" i="1"/>
  <c r="P248" i="1"/>
  <c r="P240" i="1"/>
  <c r="P232" i="1"/>
  <c r="P224" i="1"/>
  <c r="P216" i="1"/>
  <c r="P208" i="1"/>
  <c r="P200" i="1"/>
  <c r="P192" i="1"/>
  <c r="P184" i="1"/>
  <c r="P176" i="1"/>
  <c r="P168" i="1"/>
  <c r="P160" i="1"/>
  <c r="P152" i="1"/>
  <c r="P144" i="1"/>
  <c r="P136" i="1"/>
  <c r="P128" i="1"/>
  <c r="P120" i="1"/>
  <c r="P112" i="1"/>
  <c r="P104" i="1"/>
  <c r="P96" i="1"/>
  <c r="P88" i="1"/>
  <c r="P80" i="1"/>
  <c r="P72" i="1"/>
  <c r="P64" i="1"/>
  <c r="P56" i="1"/>
  <c r="P48" i="1"/>
  <c r="P40" i="1"/>
  <c r="P32" i="1"/>
  <c r="P24" i="1"/>
  <c r="P16" i="1"/>
  <c r="P8" i="1"/>
  <c r="P295" i="1"/>
  <c r="P287" i="1"/>
  <c r="P279" i="1"/>
  <c r="P271" i="1"/>
  <c r="P263" i="1"/>
  <c r="P255" i="1"/>
  <c r="P247" i="1"/>
  <c r="P239" i="1"/>
  <c r="P231" i="1"/>
  <c r="P223" i="1"/>
  <c r="P215" i="1"/>
  <c r="P207" i="1"/>
  <c r="P199" i="1"/>
  <c r="P191" i="1"/>
  <c r="P183" i="1"/>
  <c r="P175" i="1"/>
  <c r="P167" i="1"/>
  <c r="P159" i="1"/>
  <c r="P151" i="1"/>
  <c r="P143" i="1"/>
  <c r="P135" i="1"/>
  <c r="P127" i="1"/>
  <c r="P119" i="1"/>
  <c r="P111" i="1"/>
  <c r="P103" i="1"/>
  <c r="P95" i="1"/>
  <c r="P87" i="1"/>
  <c r="P79" i="1"/>
  <c r="P71" i="1"/>
  <c r="P63" i="1"/>
  <c r="P55" i="1"/>
  <c r="P47" i="1"/>
  <c r="P39" i="1"/>
  <c r="P31" i="1"/>
  <c r="P23" i="1"/>
  <c r="P15" i="1"/>
  <c r="P7" i="1"/>
  <c r="P294" i="1"/>
  <c r="P286" i="1"/>
  <c r="P278" i="1"/>
  <c r="P270" i="1"/>
  <c r="P262" i="1"/>
  <c r="P254" i="1"/>
  <c r="P246" i="1"/>
  <c r="P238" i="1"/>
  <c r="P230" i="1"/>
  <c r="P222" i="1"/>
  <c r="P214" i="1"/>
  <c r="P206" i="1"/>
  <c r="P198" i="1"/>
  <c r="P190" i="1"/>
  <c r="P182" i="1"/>
  <c r="P174" i="1"/>
  <c r="P166" i="1"/>
  <c r="P158" i="1"/>
  <c r="P150" i="1"/>
  <c r="P142" i="1"/>
  <c r="P134" i="1"/>
  <c r="P126" i="1"/>
  <c r="P118" i="1"/>
  <c r="P110" i="1"/>
  <c r="P102" i="1"/>
  <c r="P94" i="1"/>
  <c r="P86" i="1"/>
  <c r="P78" i="1"/>
  <c r="P70" i="1"/>
  <c r="P62" i="1"/>
  <c r="P54" i="1"/>
  <c r="P46" i="1"/>
  <c r="P38" i="1"/>
  <c r="P30" i="1"/>
  <c r="P22" i="1"/>
  <c r="P14" i="1"/>
  <c r="P6" i="1"/>
  <c r="P301" i="1"/>
  <c r="P293" i="1"/>
  <c r="P285" i="1"/>
  <c r="P277" i="1"/>
  <c r="P269" i="1"/>
  <c r="P261" i="1"/>
  <c r="P253" i="1"/>
  <c r="P245" i="1"/>
  <c r="P237" i="1"/>
  <c r="P229" i="1"/>
  <c r="P221" i="1"/>
  <c r="P213" i="1"/>
  <c r="P205" i="1"/>
  <c r="P197" i="1"/>
  <c r="P189" i="1"/>
  <c r="P181" i="1"/>
  <c r="P173" i="1"/>
  <c r="P165" i="1"/>
  <c r="P157" i="1"/>
  <c r="P149" i="1"/>
  <c r="P141" i="1"/>
  <c r="P133" i="1"/>
  <c r="P125" i="1"/>
  <c r="P117" i="1"/>
  <c r="P109" i="1"/>
  <c r="P101" i="1"/>
  <c r="P93" i="1"/>
  <c r="P85" i="1"/>
  <c r="P77" i="1"/>
  <c r="P69" i="1"/>
  <c r="P61" i="1"/>
  <c r="P53" i="1"/>
  <c r="P45" i="1"/>
  <c r="P37" i="1"/>
  <c r="P29" i="1"/>
  <c r="P21" i="1"/>
  <c r="P13" i="1"/>
  <c r="P5" i="1"/>
  <c r="P300" i="1"/>
  <c r="P292" i="1"/>
  <c r="P284" i="1"/>
  <c r="P276" i="1"/>
  <c r="P268" i="1"/>
  <c r="P260" i="1"/>
  <c r="P252" i="1"/>
  <c r="P244" i="1"/>
  <c r="P236" i="1"/>
  <c r="P228" i="1"/>
  <c r="P220" i="1"/>
  <c r="P212" i="1"/>
  <c r="P204" i="1"/>
  <c r="P196" i="1"/>
  <c r="P188" i="1"/>
  <c r="P180" i="1"/>
  <c r="P172" i="1"/>
  <c r="P164" i="1"/>
  <c r="P156" i="1"/>
  <c r="P148" i="1"/>
  <c r="P140" i="1"/>
  <c r="P132" i="1"/>
  <c r="P124" i="1"/>
  <c r="P116" i="1"/>
  <c r="P108" i="1"/>
  <c r="P100" i="1"/>
  <c r="P92" i="1"/>
  <c r="P84" i="1"/>
  <c r="P76" i="1"/>
  <c r="P68" i="1"/>
  <c r="P60" i="1"/>
  <c r="P52" i="1"/>
  <c r="P44" i="1"/>
  <c r="P36" i="1"/>
  <c r="P28" i="1"/>
  <c r="P20" i="1"/>
  <c r="P12" i="1"/>
  <c r="P4" i="1"/>
  <c r="P299" i="1"/>
  <c r="P291" i="1"/>
  <c r="P283" i="1"/>
  <c r="P275" i="1"/>
  <c r="P267" i="1"/>
  <c r="P259" i="1"/>
  <c r="P251" i="1"/>
  <c r="P243" i="1"/>
  <c r="P235" i="1"/>
  <c r="P227" i="1"/>
  <c r="P219" i="1"/>
  <c r="P211" i="1"/>
  <c r="P203" i="1"/>
  <c r="P195" i="1"/>
  <c r="P187" i="1"/>
  <c r="P179" i="1"/>
  <c r="P171" i="1"/>
  <c r="P163" i="1"/>
  <c r="P155" i="1"/>
  <c r="P147" i="1"/>
  <c r="P139" i="1"/>
  <c r="P131" i="1"/>
  <c r="P123" i="1"/>
  <c r="P115" i="1"/>
  <c r="P107" i="1"/>
  <c r="P99" i="1"/>
  <c r="P91" i="1"/>
  <c r="P83" i="1"/>
  <c r="P75" i="1"/>
  <c r="P67" i="1"/>
  <c r="P59" i="1"/>
  <c r="P51" i="1"/>
  <c r="P43" i="1"/>
  <c r="P35" i="1"/>
  <c r="P27" i="1"/>
  <c r="P19" i="1"/>
  <c r="P11" i="1"/>
  <c r="P3" i="1"/>
  <c r="P298" i="1"/>
  <c r="P290" i="1"/>
  <c r="P282" i="1"/>
  <c r="P274" i="1"/>
  <c r="P266" i="1"/>
  <c r="P258" i="1"/>
  <c r="P250" i="1"/>
  <c r="P242" i="1"/>
  <c r="P234" i="1"/>
  <c r="P226" i="1"/>
  <c r="P218" i="1"/>
  <c r="P210" i="1"/>
  <c r="P202" i="1"/>
  <c r="P194" i="1"/>
  <c r="P186" i="1"/>
  <c r="P178" i="1"/>
  <c r="P170" i="1"/>
  <c r="P162" i="1"/>
  <c r="P154" i="1"/>
  <c r="P146" i="1"/>
  <c r="P138" i="1"/>
  <c r="P130" i="1"/>
  <c r="P122" i="1"/>
  <c r="P114" i="1"/>
  <c r="P106" i="1"/>
  <c r="P98" i="1"/>
  <c r="P90" i="1"/>
  <c r="P82" i="1"/>
  <c r="P74" i="1"/>
  <c r="P66" i="1"/>
  <c r="P58" i="1"/>
  <c r="P50" i="1"/>
  <c r="P42" i="1"/>
  <c r="P34" i="1"/>
  <c r="P26" i="1"/>
  <c r="P18" i="1"/>
  <c r="P10" i="1"/>
  <c r="P2" i="1"/>
  <c r="M143" i="1"/>
  <c r="N255" i="1"/>
  <c r="N127" i="1"/>
  <c r="M247" i="1"/>
  <c r="N247" i="1"/>
  <c r="N119" i="1"/>
  <c r="M231" i="1"/>
  <c r="N239" i="1"/>
  <c r="N111" i="1"/>
  <c r="N231" i="1"/>
  <c r="N103" i="1"/>
  <c r="M119" i="1"/>
  <c r="N191" i="1"/>
  <c r="N63" i="1"/>
  <c r="M103" i="1"/>
  <c r="N183" i="1"/>
  <c r="N55" i="1"/>
  <c r="M55" i="1"/>
  <c r="N175" i="1"/>
  <c r="N47" i="1"/>
  <c r="M15" i="1"/>
  <c r="N167" i="1"/>
  <c r="N39" i="1"/>
  <c r="M137" i="1"/>
  <c r="M9" i="1"/>
  <c r="M225" i="1"/>
  <c r="N295" i="1"/>
  <c r="M201" i="1"/>
  <c r="M97" i="1"/>
  <c r="N287" i="1"/>
  <c r="N223" i="1"/>
  <c r="N159" i="1"/>
  <c r="N95" i="1"/>
  <c r="N31" i="1"/>
  <c r="M185" i="1"/>
  <c r="M73" i="1"/>
  <c r="N279" i="1"/>
  <c r="N215" i="1"/>
  <c r="N151" i="1"/>
  <c r="N87" i="1"/>
  <c r="N23" i="1"/>
  <c r="M184" i="1"/>
  <c r="M57" i="1"/>
  <c r="N271" i="1"/>
  <c r="N207" i="1"/>
  <c r="N143" i="1"/>
  <c r="N79" i="1"/>
  <c r="N15" i="1"/>
  <c r="M183" i="1"/>
  <c r="M56" i="1"/>
  <c r="N263" i="1"/>
  <c r="N199" i="1"/>
  <c r="N135" i="1"/>
  <c r="N71" i="1"/>
  <c r="N7" i="1"/>
  <c r="M160" i="1"/>
  <c r="M32" i="1"/>
  <c r="N298" i="1"/>
  <c r="N290" i="1"/>
  <c r="N282" i="1"/>
  <c r="N274" i="1"/>
  <c r="N266" i="1"/>
  <c r="N258" i="1"/>
  <c r="N250" i="1"/>
  <c r="N242" i="1"/>
  <c r="N234" i="1"/>
  <c r="N226" i="1"/>
  <c r="N218" i="1"/>
  <c r="N210" i="1"/>
  <c r="N202" i="1"/>
  <c r="N194" i="1"/>
  <c r="N186" i="1"/>
  <c r="N178" i="1"/>
  <c r="N170" i="1"/>
  <c r="N162" i="1"/>
  <c r="N154" i="1"/>
  <c r="N146" i="1"/>
  <c r="N138" i="1"/>
  <c r="N130" i="1"/>
  <c r="N122" i="1"/>
  <c r="N114" i="1"/>
  <c r="N106" i="1"/>
  <c r="N98" i="1"/>
  <c r="N90" i="1"/>
  <c r="N82" i="1"/>
  <c r="N74" i="1"/>
  <c r="N66" i="1"/>
  <c r="N58" i="1"/>
  <c r="N50" i="1"/>
  <c r="N42" i="1"/>
  <c r="N34" i="1"/>
  <c r="N26" i="1"/>
  <c r="N18" i="1"/>
  <c r="N10" i="1"/>
  <c r="M232" i="1"/>
  <c r="M191" i="1"/>
  <c r="M145" i="1"/>
  <c r="M104" i="1"/>
  <c r="M63" i="1"/>
  <c r="M17" i="1"/>
  <c r="N297" i="1"/>
  <c r="N289" i="1"/>
  <c r="N281" i="1"/>
  <c r="N273" i="1"/>
  <c r="N265" i="1"/>
  <c r="N257" i="1"/>
  <c r="N249" i="1"/>
  <c r="N241" i="1"/>
  <c r="N233" i="1"/>
  <c r="N225" i="1"/>
  <c r="N217" i="1"/>
  <c r="N209" i="1"/>
  <c r="N201" i="1"/>
  <c r="N193" i="1"/>
  <c r="N185" i="1"/>
  <c r="N177" i="1"/>
  <c r="N169" i="1"/>
  <c r="N161" i="1"/>
  <c r="N153" i="1"/>
  <c r="N145" i="1"/>
  <c r="N137" i="1"/>
  <c r="N129" i="1"/>
  <c r="N121" i="1"/>
  <c r="N113" i="1"/>
  <c r="N105" i="1"/>
  <c r="N97" i="1"/>
  <c r="N89" i="1"/>
  <c r="N81" i="1"/>
  <c r="N73" i="1"/>
  <c r="N65" i="1"/>
  <c r="N57" i="1"/>
  <c r="N49" i="1"/>
  <c r="N41" i="1"/>
  <c r="N33" i="1"/>
  <c r="N25" i="1"/>
  <c r="N17" i="1"/>
  <c r="N9" i="1"/>
  <c r="M144" i="1"/>
  <c r="M16" i="1"/>
  <c r="N296" i="1"/>
  <c r="N288" i="1"/>
  <c r="N280" i="1"/>
  <c r="N272" i="1"/>
  <c r="N264" i="1"/>
  <c r="N256" i="1"/>
  <c r="N248" i="1"/>
  <c r="N240" i="1"/>
  <c r="N232" i="1"/>
  <c r="N224" i="1"/>
  <c r="N216" i="1"/>
  <c r="N208" i="1"/>
  <c r="N200" i="1"/>
  <c r="N192" i="1"/>
  <c r="N184" i="1"/>
  <c r="N176" i="1"/>
  <c r="N168" i="1"/>
  <c r="N160" i="1"/>
  <c r="N152" i="1"/>
  <c r="N144" i="1"/>
  <c r="N136" i="1"/>
  <c r="N128" i="1"/>
  <c r="N120" i="1"/>
  <c r="N112" i="1"/>
  <c r="N104" i="1"/>
  <c r="N96" i="1"/>
  <c r="N88" i="1"/>
  <c r="N80" i="1"/>
  <c r="N72" i="1"/>
  <c r="N64" i="1"/>
  <c r="N56" i="1"/>
  <c r="N48" i="1"/>
  <c r="N40" i="1"/>
  <c r="N32" i="1"/>
  <c r="N24" i="1"/>
  <c r="N16" i="1"/>
  <c r="N8" i="1"/>
  <c r="M224" i="1"/>
  <c r="M96" i="1"/>
  <c r="N294" i="1"/>
  <c r="N286" i="1"/>
  <c r="N278" i="1"/>
  <c r="N270" i="1"/>
  <c r="N262" i="1"/>
  <c r="N254" i="1"/>
  <c r="N246" i="1"/>
  <c r="N238" i="1"/>
  <c r="N230" i="1"/>
  <c r="N222" i="1"/>
  <c r="N214" i="1"/>
  <c r="N206" i="1"/>
  <c r="N198" i="1"/>
  <c r="N190" i="1"/>
  <c r="N182" i="1"/>
  <c r="N174" i="1"/>
  <c r="N166" i="1"/>
  <c r="N158" i="1"/>
  <c r="N150" i="1"/>
  <c r="N142" i="1"/>
  <c r="N134" i="1"/>
  <c r="N126" i="1"/>
  <c r="N118" i="1"/>
  <c r="N110" i="1"/>
  <c r="N102" i="1"/>
  <c r="N94" i="1"/>
  <c r="N86" i="1"/>
  <c r="N78" i="1"/>
  <c r="N70" i="1"/>
  <c r="N62" i="1"/>
  <c r="N54" i="1"/>
  <c r="N46" i="1"/>
  <c r="N38" i="1"/>
  <c r="N30" i="1"/>
  <c r="N22" i="1"/>
  <c r="N14" i="1"/>
  <c r="N6" i="1"/>
  <c r="M209" i="1"/>
  <c r="M168" i="1"/>
  <c r="M127" i="1"/>
  <c r="M81" i="1"/>
  <c r="M40" i="1"/>
  <c r="N301" i="1"/>
  <c r="N293" i="1"/>
  <c r="N285" i="1"/>
  <c r="N277" i="1"/>
  <c r="N269" i="1"/>
  <c r="N261" i="1"/>
  <c r="N253" i="1"/>
  <c r="N245" i="1"/>
  <c r="N237" i="1"/>
  <c r="N229" i="1"/>
  <c r="N221" i="1"/>
  <c r="N213" i="1"/>
  <c r="N205" i="1"/>
  <c r="N197" i="1"/>
  <c r="N189" i="1"/>
  <c r="N181" i="1"/>
  <c r="N173" i="1"/>
  <c r="N165" i="1"/>
  <c r="N157" i="1"/>
  <c r="N149" i="1"/>
  <c r="N141" i="1"/>
  <c r="N133" i="1"/>
  <c r="N125" i="1"/>
  <c r="N117" i="1"/>
  <c r="N109" i="1"/>
  <c r="N101" i="1"/>
  <c r="N93" i="1"/>
  <c r="N85" i="1"/>
  <c r="N77" i="1"/>
  <c r="N69" i="1"/>
  <c r="N61" i="1"/>
  <c r="N53" i="1"/>
  <c r="N45" i="1"/>
  <c r="N37" i="1"/>
  <c r="N29" i="1"/>
  <c r="N21" i="1"/>
  <c r="N13" i="1"/>
  <c r="N5" i="1"/>
  <c r="M249" i="1"/>
  <c r="M208" i="1"/>
  <c r="M167" i="1"/>
  <c r="M121" i="1"/>
  <c r="M80" i="1"/>
  <c r="M39" i="1"/>
  <c r="N300" i="1"/>
  <c r="N292" i="1"/>
  <c r="N284" i="1"/>
  <c r="N276" i="1"/>
  <c r="N268" i="1"/>
  <c r="N260" i="1"/>
  <c r="N252" i="1"/>
  <c r="N244" i="1"/>
  <c r="N236" i="1"/>
  <c r="N228" i="1"/>
  <c r="N220" i="1"/>
  <c r="N212" i="1"/>
  <c r="N204" i="1"/>
  <c r="N196" i="1"/>
  <c r="N188" i="1"/>
  <c r="N180" i="1"/>
  <c r="N172" i="1"/>
  <c r="N164" i="1"/>
  <c r="N156" i="1"/>
  <c r="N148" i="1"/>
  <c r="N140" i="1"/>
  <c r="N132" i="1"/>
  <c r="N124" i="1"/>
  <c r="N116" i="1"/>
  <c r="N108" i="1"/>
  <c r="N100" i="1"/>
  <c r="N92" i="1"/>
  <c r="N84" i="1"/>
  <c r="N76" i="1"/>
  <c r="N68" i="1"/>
  <c r="N60" i="1"/>
  <c r="N52" i="1"/>
  <c r="N44" i="1"/>
  <c r="N36" i="1"/>
  <c r="N28" i="1"/>
  <c r="N20" i="1"/>
  <c r="N12" i="1"/>
  <c r="N4" i="1"/>
  <c r="M248" i="1"/>
  <c r="M207" i="1"/>
  <c r="M161" i="1"/>
  <c r="M120" i="1"/>
  <c r="M79" i="1"/>
  <c r="M33" i="1"/>
  <c r="N299" i="1"/>
  <c r="N291" i="1"/>
  <c r="N283" i="1"/>
  <c r="N275" i="1"/>
  <c r="N267" i="1"/>
  <c r="N259" i="1"/>
  <c r="N251" i="1"/>
  <c r="N243" i="1"/>
  <c r="N235" i="1"/>
  <c r="N227" i="1"/>
  <c r="N219" i="1"/>
  <c r="N211" i="1"/>
  <c r="N203" i="1"/>
  <c r="N195" i="1"/>
  <c r="N187" i="1"/>
  <c r="N179" i="1"/>
  <c r="N171" i="1"/>
  <c r="N163" i="1"/>
  <c r="N155" i="1"/>
  <c r="N147" i="1"/>
  <c r="N139" i="1"/>
  <c r="N131" i="1"/>
  <c r="N123" i="1"/>
  <c r="N115" i="1"/>
  <c r="N107" i="1"/>
  <c r="N99" i="1"/>
  <c r="N91" i="1"/>
  <c r="N83" i="1"/>
  <c r="N75" i="1"/>
  <c r="N67" i="1"/>
  <c r="N59" i="1"/>
  <c r="N51" i="1"/>
  <c r="N43" i="1"/>
  <c r="N35" i="1"/>
  <c r="N27" i="1"/>
  <c r="N19" i="1"/>
  <c r="N11" i="1"/>
  <c r="N3" i="1"/>
  <c r="M256" i="1"/>
  <c r="M233" i="1"/>
  <c r="M215" i="1"/>
  <c r="M192" i="1"/>
  <c r="M169" i="1"/>
  <c r="M151" i="1"/>
  <c r="M128" i="1"/>
  <c r="M105" i="1"/>
  <c r="M87" i="1"/>
  <c r="M64" i="1"/>
  <c r="M41" i="1"/>
  <c r="M23" i="1"/>
  <c r="M255" i="1"/>
  <c r="M279" i="1"/>
  <c r="M241" i="1"/>
  <c r="M223" i="1"/>
  <c r="M200" i="1"/>
  <c r="M177" i="1"/>
  <c r="M159" i="1"/>
  <c r="M136" i="1"/>
  <c r="M113" i="1"/>
  <c r="M95" i="1"/>
  <c r="M72" i="1"/>
  <c r="M49" i="1"/>
  <c r="M31" i="1"/>
  <c r="M8" i="1"/>
  <c r="M271" i="1"/>
  <c r="M240" i="1"/>
  <c r="M217" i="1"/>
  <c r="M199" i="1"/>
  <c r="M176" i="1"/>
  <c r="M153" i="1"/>
  <c r="M135" i="1"/>
  <c r="M112" i="1"/>
  <c r="M89" i="1"/>
  <c r="M71" i="1"/>
  <c r="M48" i="1"/>
  <c r="M25" i="1"/>
  <c r="M7" i="1"/>
  <c r="M263" i="1"/>
  <c r="M239" i="1"/>
  <c r="M216" i="1"/>
  <c r="M193" i="1"/>
  <c r="M175" i="1"/>
  <c r="M152" i="1"/>
  <c r="M129" i="1"/>
  <c r="M111" i="1"/>
  <c r="M88" i="1"/>
  <c r="M65" i="1"/>
  <c r="M47" i="1"/>
  <c r="M24" i="1"/>
  <c r="N2" i="1"/>
  <c r="M298" i="1"/>
  <c r="M290" i="1"/>
  <c r="M282" i="1"/>
  <c r="M274" i="1"/>
  <c r="M266" i="1"/>
  <c r="M258" i="1"/>
  <c r="M250" i="1"/>
  <c r="M242" i="1"/>
  <c r="M234" i="1"/>
  <c r="M226" i="1"/>
  <c r="M218" i="1"/>
  <c r="M210" i="1"/>
  <c r="M202" i="1"/>
  <c r="M194" i="1"/>
  <c r="M186" i="1"/>
  <c r="M178" i="1"/>
  <c r="M170" i="1"/>
  <c r="M162" i="1"/>
  <c r="M154" i="1"/>
  <c r="M146" i="1"/>
  <c r="M138" i="1"/>
  <c r="M130" i="1"/>
  <c r="M122" i="1"/>
  <c r="M114" i="1"/>
  <c r="M106" i="1"/>
  <c r="M98" i="1"/>
  <c r="M90" i="1"/>
  <c r="M82" i="1"/>
  <c r="M74" i="1"/>
  <c r="M66" i="1"/>
  <c r="M58" i="1"/>
  <c r="M50" i="1"/>
  <c r="M42" i="1"/>
  <c r="M34" i="1"/>
  <c r="M26" i="1"/>
  <c r="M18" i="1"/>
  <c r="M10" i="1"/>
  <c r="M297" i="1"/>
  <c r="M289" i="1"/>
  <c r="M281" i="1"/>
  <c r="M273" i="1"/>
  <c r="M265" i="1"/>
  <c r="M257" i="1"/>
  <c r="M296" i="1"/>
  <c r="M288" i="1"/>
  <c r="M280" i="1"/>
  <c r="M272" i="1"/>
  <c r="M264" i="1"/>
  <c r="M295" i="1"/>
  <c r="M287" i="1"/>
  <c r="M294" i="1"/>
  <c r="M286" i="1"/>
  <c r="M278" i="1"/>
  <c r="M270" i="1"/>
  <c r="M262" i="1"/>
  <c r="M254" i="1"/>
  <c r="M246" i="1"/>
  <c r="M238" i="1"/>
  <c r="M230" i="1"/>
  <c r="M222" i="1"/>
  <c r="M214" i="1"/>
  <c r="M206" i="1"/>
  <c r="M198" i="1"/>
  <c r="M190" i="1"/>
  <c r="M182" i="1"/>
  <c r="M174" i="1"/>
  <c r="M166" i="1"/>
  <c r="M158" i="1"/>
  <c r="M150" i="1"/>
  <c r="M142" i="1"/>
  <c r="M134" i="1"/>
  <c r="M126" i="1"/>
  <c r="M118" i="1"/>
  <c r="M110" i="1"/>
  <c r="M102" i="1"/>
  <c r="M94" i="1"/>
  <c r="M86" i="1"/>
  <c r="M78" i="1"/>
  <c r="M70" i="1"/>
  <c r="M62" i="1"/>
  <c r="M54" i="1"/>
  <c r="M46" i="1"/>
  <c r="M38" i="1"/>
  <c r="M30" i="1"/>
  <c r="M22" i="1"/>
  <c r="M14" i="1"/>
  <c r="M6" i="1"/>
  <c r="M301" i="1"/>
  <c r="M293" i="1"/>
  <c r="M285" i="1"/>
  <c r="M277" i="1"/>
  <c r="M269" i="1"/>
  <c r="M261" i="1"/>
  <c r="M253" i="1"/>
  <c r="M245" i="1"/>
  <c r="M237" i="1"/>
  <c r="M229" i="1"/>
  <c r="M221" i="1"/>
  <c r="M213" i="1"/>
  <c r="M205" i="1"/>
  <c r="M197" i="1"/>
  <c r="M189" i="1"/>
  <c r="M181" i="1"/>
  <c r="M173" i="1"/>
  <c r="M165" i="1"/>
  <c r="M157" i="1"/>
  <c r="M149" i="1"/>
  <c r="M141" i="1"/>
  <c r="M133" i="1"/>
  <c r="M125" i="1"/>
  <c r="M117" i="1"/>
  <c r="M109" i="1"/>
  <c r="M101" i="1"/>
  <c r="M93" i="1"/>
  <c r="M85" i="1"/>
  <c r="M77" i="1"/>
  <c r="M69" i="1"/>
  <c r="M61" i="1"/>
  <c r="M53" i="1"/>
  <c r="M45" i="1"/>
  <c r="M37" i="1"/>
  <c r="M29" i="1"/>
  <c r="M21" i="1"/>
  <c r="M13" i="1"/>
  <c r="M5" i="1"/>
  <c r="M300" i="1"/>
  <c r="M292" i="1"/>
  <c r="M284" i="1"/>
  <c r="M276" i="1"/>
  <c r="M268" i="1"/>
  <c r="M260" i="1"/>
  <c r="M252" i="1"/>
  <c r="M244" i="1"/>
  <c r="M236" i="1"/>
  <c r="M228" i="1"/>
  <c r="M220" i="1"/>
  <c r="M212" i="1"/>
  <c r="M204" i="1"/>
  <c r="M196" i="1"/>
  <c r="M188" i="1"/>
  <c r="M180" i="1"/>
  <c r="M172" i="1"/>
  <c r="M164" i="1"/>
  <c r="M156" i="1"/>
  <c r="M148" i="1"/>
  <c r="M140" i="1"/>
  <c r="M132" i="1"/>
  <c r="M124" i="1"/>
  <c r="M116" i="1"/>
  <c r="M108" i="1"/>
  <c r="M100" i="1"/>
  <c r="M92" i="1"/>
  <c r="M84" i="1"/>
  <c r="M76" i="1"/>
  <c r="M68" i="1"/>
  <c r="M60" i="1"/>
  <c r="M52" i="1"/>
  <c r="M44" i="1"/>
  <c r="M36" i="1"/>
  <c r="M28" i="1"/>
  <c r="M20" i="1"/>
  <c r="M12" i="1"/>
  <c r="M4" i="1"/>
  <c r="M299" i="1"/>
  <c r="M291" i="1"/>
  <c r="M283" i="1"/>
  <c r="M275" i="1"/>
  <c r="M267" i="1"/>
  <c r="M259" i="1"/>
  <c r="M251" i="1"/>
  <c r="M243" i="1"/>
  <c r="M235" i="1"/>
  <c r="M227" i="1"/>
  <c r="M219" i="1"/>
  <c r="M211" i="1"/>
  <c r="M203" i="1"/>
  <c r="M195" i="1"/>
  <c r="M187" i="1"/>
  <c r="M179" i="1"/>
  <c r="M171" i="1"/>
  <c r="M163" i="1"/>
  <c r="M155" i="1"/>
  <c r="M147" i="1"/>
  <c r="M139" i="1"/>
  <c r="M131" i="1"/>
  <c r="M123" i="1"/>
  <c r="M115" i="1"/>
  <c r="M107" i="1"/>
  <c r="M99" i="1"/>
  <c r="M91" i="1"/>
  <c r="M83" i="1"/>
  <c r="M75" i="1"/>
  <c r="M67" i="1"/>
  <c r="M59" i="1"/>
  <c r="M51" i="1"/>
  <c r="M43" i="1"/>
  <c r="M35" i="1"/>
  <c r="M27" i="1"/>
  <c r="M19" i="1"/>
  <c r="M11" i="1"/>
  <c r="M3" i="1"/>
  <c r="M2" i="1"/>
  <c r="K240" i="1"/>
  <c r="K192" i="1"/>
  <c r="K96" i="1"/>
  <c r="K48" i="1"/>
  <c r="K254" i="1"/>
  <c r="K112" i="1"/>
  <c r="K110" i="1"/>
  <c r="K238" i="1"/>
  <c r="K62" i="1"/>
  <c r="K190" i="1"/>
  <c r="K176" i="1"/>
  <c r="K46" i="1"/>
  <c r="K2" i="1"/>
  <c r="K160" i="1"/>
  <c r="K32" i="1"/>
  <c r="K256" i="1"/>
  <c r="K126" i="1"/>
  <c r="K270" i="1"/>
  <c r="K206" i="1"/>
  <c r="K128" i="1"/>
  <c r="K64" i="1"/>
  <c r="K288" i="1"/>
  <c r="K224" i="1"/>
  <c r="K158" i="1"/>
  <c r="K94" i="1"/>
  <c r="K30" i="1"/>
  <c r="K286" i="1"/>
  <c r="K222" i="1"/>
  <c r="K144" i="1"/>
  <c r="K80" i="1"/>
  <c r="K16" i="1"/>
  <c r="K272" i="1"/>
  <c r="K208" i="1"/>
  <c r="K142" i="1"/>
  <c r="K78" i="1"/>
  <c r="K14" i="1"/>
  <c r="K287" i="1"/>
  <c r="K271" i="1"/>
  <c r="K255" i="1"/>
  <c r="K239" i="1"/>
  <c r="K223" i="1"/>
  <c r="K207" i="1"/>
  <c r="K191" i="1"/>
  <c r="K175" i="1"/>
  <c r="K159" i="1"/>
  <c r="K143" i="1"/>
  <c r="K127" i="1"/>
  <c r="K111" i="1"/>
  <c r="K95" i="1"/>
  <c r="K79" i="1"/>
  <c r="K63" i="1"/>
  <c r="K47" i="1"/>
  <c r="K31" i="1"/>
  <c r="K15" i="1"/>
  <c r="K174" i="1"/>
  <c r="K297" i="1"/>
  <c r="K281" i="1"/>
  <c r="K265" i="1"/>
  <c r="K249" i="1"/>
  <c r="K233" i="1"/>
  <c r="K217" i="1"/>
  <c r="K201" i="1"/>
  <c r="K185" i="1"/>
  <c r="K169" i="1"/>
  <c r="K153" i="1"/>
  <c r="K137" i="1"/>
  <c r="K121" i="1"/>
  <c r="K105" i="1"/>
  <c r="K89" i="1"/>
  <c r="K73" i="1"/>
  <c r="K57" i="1"/>
  <c r="K41" i="1"/>
  <c r="K25" i="1"/>
  <c r="K9" i="1"/>
  <c r="K296" i="1"/>
  <c r="K280" i="1"/>
  <c r="K264" i="1"/>
  <c r="K248" i="1"/>
  <c r="K232" i="1"/>
  <c r="K216" i="1"/>
  <c r="K200" i="1"/>
  <c r="K184" i="1"/>
  <c r="K168" i="1"/>
  <c r="K152" i="1"/>
  <c r="K136" i="1"/>
  <c r="K120" i="1"/>
  <c r="K104" i="1"/>
  <c r="K88" i="1"/>
  <c r="K72" i="1"/>
  <c r="K56" i="1"/>
  <c r="K40" i="1"/>
  <c r="K24" i="1"/>
  <c r="K8" i="1"/>
  <c r="K295" i="1"/>
  <c r="K279" i="1"/>
  <c r="K263" i="1"/>
  <c r="K247" i="1"/>
  <c r="K231" i="1"/>
  <c r="K215" i="1"/>
  <c r="K199" i="1"/>
  <c r="K183" i="1"/>
  <c r="K167" i="1"/>
  <c r="K151" i="1"/>
  <c r="K135" i="1"/>
  <c r="K119" i="1"/>
  <c r="K103" i="1"/>
  <c r="K87" i="1"/>
  <c r="K71" i="1"/>
  <c r="K55" i="1"/>
  <c r="K39" i="1"/>
  <c r="K23" i="1"/>
  <c r="K7" i="1"/>
  <c r="K294" i="1"/>
  <c r="K278" i="1"/>
  <c r="K262" i="1"/>
  <c r="K246" i="1"/>
  <c r="K230" i="1"/>
  <c r="K214" i="1"/>
  <c r="K198" i="1"/>
  <c r="K182" i="1"/>
  <c r="K166" i="1"/>
  <c r="K150" i="1"/>
  <c r="K134" i="1"/>
  <c r="K118" i="1"/>
  <c r="K102" i="1"/>
  <c r="K86" i="1"/>
  <c r="K70" i="1"/>
  <c r="K54" i="1"/>
  <c r="K38" i="1"/>
  <c r="K22" i="1"/>
  <c r="K6" i="1"/>
  <c r="K289" i="1"/>
  <c r="K273" i="1"/>
  <c r="K257" i="1"/>
  <c r="K241" i="1"/>
  <c r="K225" i="1"/>
  <c r="K209" i="1"/>
  <c r="K193" i="1"/>
  <c r="K177" i="1"/>
  <c r="K161" i="1"/>
  <c r="K145" i="1"/>
  <c r="K129" i="1"/>
  <c r="K113" i="1"/>
  <c r="K97" i="1"/>
  <c r="K81" i="1"/>
  <c r="K65" i="1"/>
  <c r="K49" i="1"/>
  <c r="K33" i="1"/>
  <c r="K17" i="1"/>
  <c r="K298" i="1"/>
  <c r="K290" i="1"/>
  <c r="K282" i="1"/>
  <c r="K274" i="1"/>
  <c r="K266" i="1"/>
  <c r="K258" i="1"/>
  <c r="K250" i="1"/>
  <c r="K242" i="1"/>
  <c r="K234" i="1"/>
  <c r="K226" i="1"/>
  <c r="K218" i="1"/>
  <c r="K210" i="1"/>
  <c r="K202" i="1"/>
  <c r="K194" i="1"/>
  <c r="K186" i="1"/>
  <c r="K178" i="1"/>
  <c r="K170" i="1"/>
  <c r="K162" i="1"/>
  <c r="K154" i="1"/>
  <c r="K146" i="1"/>
  <c r="K138" i="1"/>
  <c r="K130" i="1"/>
  <c r="K122" i="1"/>
  <c r="K114" i="1"/>
  <c r="K106" i="1"/>
  <c r="K98" i="1"/>
  <c r="K90" i="1"/>
  <c r="K82" i="1"/>
  <c r="K74" i="1"/>
  <c r="K66" i="1"/>
  <c r="K58" i="1"/>
  <c r="K50" i="1"/>
  <c r="K42" i="1"/>
  <c r="K34" i="1"/>
  <c r="K26" i="1"/>
  <c r="K18" i="1"/>
  <c r="K10" i="1"/>
  <c r="K301" i="1"/>
  <c r="K293" i="1"/>
  <c r="K285" i="1"/>
  <c r="K277" i="1"/>
  <c r="K269" i="1"/>
  <c r="K261" i="1"/>
  <c r="K253" i="1"/>
  <c r="K245" i="1"/>
  <c r="K237" i="1"/>
  <c r="K229" i="1"/>
  <c r="K221" i="1"/>
  <c r="K213" i="1"/>
  <c r="K205" i="1"/>
  <c r="K197" i="1"/>
  <c r="K189" i="1"/>
  <c r="K181" i="1"/>
  <c r="K173" i="1"/>
  <c r="K165" i="1"/>
  <c r="K157" i="1"/>
  <c r="K149" i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5" i="1"/>
  <c r="K300" i="1"/>
  <c r="K292" i="1"/>
  <c r="K284" i="1"/>
  <c r="K276" i="1"/>
  <c r="K268" i="1"/>
  <c r="K260" i="1"/>
  <c r="K252" i="1"/>
  <c r="K244" i="1"/>
  <c r="K236" i="1"/>
  <c r="K228" i="1"/>
  <c r="K220" i="1"/>
  <c r="K212" i="1"/>
  <c r="K204" i="1"/>
  <c r="K196" i="1"/>
  <c r="K188" i="1"/>
  <c r="K180" i="1"/>
  <c r="K172" i="1"/>
  <c r="K164" i="1"/>
  <c r="K156" i="1"/>
  <c r="K148" i="1"/>
  <c r="K140" i="1"/>
  <c r="K132" i="1"/>
  <c r="K124" i="1"/>
  <c r="K116" i="1"/>
  <c r="K108" i="1"/>
  <c r="K100" i="1"/>
  <c r="K92" i="1"/>
  <c r="K84" i="1"/>
  <c r="K76" i="1"/>
  <c r="K68" i="1"/>
  <c r="K60" i="1"/>
  <c r="K52" i="1"/>
  <c r="K44" i="1"/>
  <c r="K36" i="1"/>
  <c r="K28" i="1"/>
  <c r="K20" i="1"/>
  <c r="K12" i="1"/>
  <c r="K4" i="1"/>
  <c r="K299" i="1"/>
  <c r="K291" i="1"/>
  <c r="K283" i="1"/>
  <c r="K275" i="1"/>
  <c r="K267" i="1"/>
  <c r="K259" i="1"/>
  <c r="K251" i="1"/>
  <c r="K243" i="1"/>
  <c r="K235" i="1"/>
  <c r="K227" i="1"/>
  <c r="K219" i="1"/>
  <c r="K211" i="1"/>
  <c r="K203" i="1"/>
  <c r="K195" i="1"/>
  <c r="K187" i="1"/>
  <c r="K179" i="1"/>
  <c r="K171" i="1"/>
  <c r="K163" i="1"/>
  <c r="K155" i="1"/>
  <c r="K147" i="1"/>
  <c r="K139" i="1"/>
  <c r="K131" i="1"/>
  <c r="K123" i="1"/>
  <c r="K115" i="1"/>
  <c r="K107" i="1"/>
  <c r="K99" i="1"/>
  <c r="K91" i="1"/>
  <c r="K83" i="1"/>
  <c r="K75" i="1"/>
  <c r="K67" i="1"/>
  <c r="K59" i="1"/>
  <c r="K51" i="1"/>
  <c r="K43" i="1"/>
  <c r="K35" i="1"/>
  <c r="K27" i="1"/>
  <c r="K19" i="1"/>
  <c r="K11" i="1"/>
  <c r="K3" i="1"/>
  <c r="L163" i="1" l="1"/>
  <c r="R163" i="1"/>
  <c r="S163" i="1" s="1"/>
  <c r="L291" i="1"/>
  <c r="R291" i="1" s="1"/>
  <c r="S291" i="1" s="1"/>
  <c r="L116" i="1"/>
  <c r="R116" i="1" s="1"/>
  <c r="S116" i="1" s="1"/>
  <c r="L244" i="1"/>
  <c r="R244" i="1" s="1"/>
  <c r="S244" i="1" s="1"/>
  <c r="L133" i="1"/>
  <c r="R133" i="1" s="1"/>
  <c r="S133" i="1" s="1"/>
  <c r="L261" i="1"/>
  <c r="R261" i="1" s="1"/>
  <c r="S261" i="1" s="1"/>
  <c r="L90" i="1"/>
  <c r="R90" i="1" s="1"/>
  <c r="S90" i="1" s="1"/>
  <c r="L218" i="1"/>
  <c r="R218" i="1" s="1"/>
  <c r="S218" i="1" s="1"/>
  <c r="L97" i="1"/>
  <c r="R97" i="1" s="1"/>
  <c r="S97" i="1" s="1"/>
  <c r="L54" i="1"/>
  <c r="R54" i="1" s="1"/>
  <c r="S54" i="1" s="1"/>
  <c r="L7" i="1"/>
  <c r="R7" i="1" s="1"/>
  <c r="S7" i="1" s="1"/>
  <c r="L135" i="1"/>
  <c r="R135" i="1" s="1"/>
  <c r="S135" i="1" s="1"/>
  <c r="L88" i="1"/>
  <c r="R88" i="1" s="1"/>
  <c r="S88" i="1" s="1"/>
  <c r="L216" i="1"/>
  <c r="R216" i="1" s="1"/>
  <c r="S216" i="1" s="1"/>
  <c r="L41" i="1"/>
  <c r="R41" i="1" s="1"/>
  <c r="S41" i="1" s="1"/>
  <c r="L297" i="1"/>
  <c r="R297" i="1" s="1"/>
  <c r="S297" i="1" s="1"/>
  <c r="L111" i="1"/>
  <c r="R111" i="1" s="1"/>
  <c r="S111" i="1" s="1"/>
  <c r="L239" i="1"/>
  <c r="R239" i="1"/>
  <c r="S239" i="1" s="1"/>
  <c r="L272" i="1"/>
  <c r="R272" i="1" s="1"/>
  <c r="S272" i="1" s="1"/>
  <c r="L158" i="1"/>
  <c r="R158" i="1" s="1"/>
  <c r="S158" i="1" s="1"/>
  <c r="L256" i="1"/>
  <c r="R256" i="1" s="1"/>
  <c r="S256" i="1" s="1"/>
  <c r="L238" i="1"/>
  <c r="R238" i="1"/>
  <c r="S238" i="1" s="1"/>
  <c r="L35" i="1"/>
  <c r="R35" i="1" s="1"/>
  <c r="S35" i="1" s="1"/>
  <c r="L227" i="1"/>
  <c r="R227" i="1" s="1"/>
  <c r="S227" i="1" s="1"/>
  <c r="L52" i="1"/>
  <c r="R52" i="1" s="1"/>
  <c r="S52" i="1" s="1"/>
  <c r="L180" i="1"/>
  <c r="R180" i="1" s="1"/>
  <c r="S180" i="1" s="1"/>
  <c r="L5" i="1"/>
  <c r="R5" i="1" s="1"/>
  <c r="S5" i="1" s="1"/>
  <c r="L69" i="1"/>
  <c r="R69" i="1" s="1"/>
  <c r="S69" i="1" s="1"/>
  <c r="L197" i="1"/>
  <c r="R197" i="1" s="1"/>
  <c r="S197" i="1" s="1"/>
  <c r="L26" i="1"/>
  <c r="R26" i="1" s="1"/>
  <c r="S26" i="1" s="1"/>
  <c r="L154" i="1"/>
  <c r="R154" i="1" s="1"/>
  <c r="S154" i="1" s="1"/>
  <c r="L282" i="1"/>
  <c r="R282" i="1" s="1"/>
  <c r="S282" i="1" s="1"/>
  <c r="L225" i="1"/>
  <c r="R225" i="1" s="1"/>
  <c r="S225" i="1" s="1"/>
  <c r="L182" i="1"/>
  <c r="R182" i="1" s="1"/>
  <c r="S182" i="1" s="1"/>
  <c r="L263" i="1"/>
  <c r="R263" i="1" s="1"/>
  <c r="S263" i="1" s="1"/>
  <c r="L169" i="1"/>
  <c r="R169" i="1" s="1"/>
  <c r="S169" i="1" s="1"/>
  <c r="L43" i="1"/>
  <c r="R43" i="1" s="1"/>
  <c r="S43" i="1" s="1"/>
  <c r="L107" i="1"/>
  <c r="R107" i="1" s="1"/>
  <c r="S107" i="1" s="1"/>
  <c r="L171" i="1"/>
  <c r="R171" i="1" s="1"/>
  <c r="S171" i="1" s="1"/>
  <c r="L235" i="1"/>
  <c r="R235" i="1" s="1"/>
  <c r="S235" i="1" s="1"/>
  <c r="L299" i="1"/>
  <c r="R299" i="1" s="1"/>
  <c r="S299" i="1" s="1"/>
  <c r="L60" i="1"/>
  <c r="R60" i="1" s="1"/>
  <c r="S60" i="1" s="1"/>
  <c r="L124" i="1"/>
  <c r="R124" i="1" s="1"/>
  <c r="S124" i="1" s="1"/>
  <c r="L188" i="1"/>
  <c r="R188" i="1" s="1"/>
  <c r="S188" i="1" s="1"/>
  <c r="L252" i="1"/>
  <c r="R252" i="1" s="1"/>
  <c r="S252" i="1" s="1"/>
  <c r="L13" i="1"/>
  <c r="R13" i="1" s="1"/>
  <c r="S13" i="1" s="1"/>
  <c r="L77" i="1"/>
  <c r="R77" i="1"/>
  <c r="S77" i="1" s="1"/>
  <c r="L141" i="1"/>
  <c r="R141" i="1" s="1"/>
  <c r="S141" i="1" s="1"/>
  <c r="L205" i="1"/>
  <c r="R205" i="1" s="1"/>
  <c r="S205" i="1" s="1"/>
  <c r="L269" i="1"/>
  <c r="R269" i="1" s="1"/>
  <c r="S269" i="1" s="1"/>
  <c r="L34" i="1"/>
  <c r="R34" i="1" s="1"/>
  <c r="S34" i="1" s="1"/>
  <c r="L98" i="1"/>
  <c r="R98" i="1" s="1"/>
  <c r="S98" i="1" s="1"/>
  <c r="L162" i="1"/>
  <c r="R162" i="1" s="1"/>
  <c r="S162" i="1" s="1"/>
  <c r="L226" i="1"/>
  <c r="R226" i="1" s="1"/>
  <c r="S226" i="1" s="1"/>
  <c r="L290" i="1"/>
  <c r="R290" i="1" s="1"/>
  <c r="S290" i="1" s="1"/>
  <c r="L113" i="1"/>
  <c r="R113" i="1" s="1"/>
  <c r="S113" i="1" s="1"/>
  <c r="L241" i="1"/>
  <c r="R241" i="1" s="1"/>
  <c r="S241" i="1" s="1"/>
  <c r="L70" i="1"/>
  <c r="R70" i="1" s="1"/>
  <c r="S70" i="1" s="1"/>
  <c r="L198" i="1"/>
  <c r="R198" i="1" s="1"/>
  <c r="S198" i="1" s="1"/>
  <c r="L23" i="1"/>
  <c r="R23" i="1" s="1"/>
  <c r="S23" i="1" s="1"/>
  <c r="L151" i="1"/>
  <c r="R151" i="1" s="1"/>
  <c r="S151" i="1" s="1"/>
  <c r="L279" i="1"/>
  <c r="R279" i="1" s="1"/>
  <c r="S279" i="1" s="1"/>
  <c r="L104" i="1"/>
  <c r="R104" i="1" s="1"/>
  <c r="S104" i="1" s="1"/>
  <c r="L232" i="1"/>
  <c r="R232" i="1" s="1"/>
  <c r="S232" i="1" s="1"/>
  <c r="L57" i="1"/>
  <c r="R57" i="1" s="1"/>
  <c r="S57" i="1" s="1"/>
  <c r="L185" i="1"/>
  <c r="R185" i="1" s="1"/>
  <c r="S185" i="1" s="1"/>
  <c r="L174" i="1"/>
  <c r="R174" i="1" s="1"/>
  <c r="S174" i="1" s="1"/>
  <c r="L127" i="1"/>
  <c r="R127" i="1" s="1"/>
  <c r="S127" i="1" s="1"/>
  <c r="L255" i="1"/>
  <c r="R255" i="1" s="1"/>
  <c r="S255" i="1" s="1"/>
  <c r="L16" i="1"/>
  <c r="R16" i="1" s="1"/>
  <c r="S16" i="1" s="1"/>
  <c r="L224" i="1"/>
  <c r="R224" i="1" s="1"/>
  <c r="S224" i="1" s="1"/>
  <c r="L32" i="1"/>
  <c r="R32" i="1" s="1"/>
  <c r="S32" i="1" s="1"/>
  <c r="L110" i="1"/>
  <c r="R110" i="1" s="1"/>
  <c r="S110" i="1" s="1"/>
  <c r="L132" i="1"/>
  <c r="R132" i="1" s="1"/>
  <c r="S132" i="1" s="1"/>
  <c r="L213" i="1"/>
  <c r="R213" i="1"/>
  <c r="S213" i="1" s="1"/>
  <c r="L106" i="1"/>
  <c r="R106" i="1" s="1"/>
  <c r="S106" i="1" s="1"/>
  <c r="L129" i="1"/>
  <c r="R129" i="1" s="1"/>
  <c r="S129" i="1" s="1"/>
  <c r="L257" i="1"/>
  <c r="R257" i="1"/>
  <c r="S257" i="1" s="1"/>
  <c r="L86" i="1"/>
  <c r="R86" i="1" s="1"/>
  <c r="S86" i="1" s="1"/>
  <c r="L214" i="1"/>
  <c r="R214" i="1" s="1"/>
  <c r="S214" i="1" s="1"/>
  <c r="L39" i="1"/>
  <c r="R39" i="1" s="1"/>
  <c r="S39" i="1" s="1"/>
  <c r="L167" i="1"/>
  <c r="R167" i="1" s="1"/>
  <c r="S167" i="1" s="1"/>
  <c r="L295" i="1"/>
  <c r="R295" i="1" s="1"/>
  <c r="S295" i="1" s="1"/>
  <c r="L120" i="1"/>
  <c r="R120" i="1" s="1"/>
  <c r="S120" i="1" s="1"/>
  <c r="L248" i="1"/>
  <c r="R248" i="1" s="1"/>
  <c r="S248" i="1" s="1"/>
  <c r="L73" i="1"/>
  <c r="R73" i="1" s="1"/>
  <c r="S73" i="1" s="1"/>
  <c r="L201" i="1"/>
  <c r="R201" i="1" s="1"/>
  <c r="S201" i="1" s="1"/>
  <c r="L15" i="1"/>
  <c r="R15" i="1" s="1"/>
  <c r="S15" i="1" s="1"/>
  <c r="L143" i="1"/>
  <c r="R143" i="1" s="1"/>
  <c r="S143" i="1" s="1"/>
  <c r="L271" i="1"/>
  <c r="R271" i="1" s="1"/>
  <c r="S271" i="1" s="1"/>
  <c r="L80" i="1"/>
  <c r="R80" i="1" s="1"/>
  <c r="S80" i="1" s="1"/>
  <c r="L288" i="1"/>
  <c r="R288" i="1" s="1"/>
  <c r="S288" i="1" s="1"/>
  <c r="L160" i="1"/>
  <c r="R160" i="1" s="1"/>
  <c r="S160" i="1" s="1"/>
  <c r="L112" i="1"/>
  <c r="R112" i="1" s="1"/>
  <c r="S112" i="1" s="1"/>
  <c r="L179" i="1"/>
  <c r="R179" i="1" s="1"/>
  <c r="S179" i="1" s="1"/>
  <c r="L196" i="1"/>
  <c r="R196" i="1" s="1"/>
  <c r="S196" i="1" s="1"/>
  <c r="L277" i="1"/>
  <c r="R277" i="1" s="1"/>
  <c r="S277" i="1" s="1"/>
  <c r="L12" i="1"/>
  <c r="R12" i="1" s="1"/>
  <c r="S12" i="1" s="1"/>
  <c r="L50" i="1"/>
  <c r="R50" i="1" s="1"/>
  <c r="S50" i="1" s="1"/>
  <c r="L145" i="1"/>
  <c r="R145" i="1" s="1"/>
  <c r="S145" i="1" s="1"/>
  <c r="L55" i="1"/>
  <c r="R55" i="1" s="1"/>
  <c r="S55" i="1" s="1"/>
  <c r="L264" i="1"/>
  <c r="R264" i="1" s="1"/>
  <c r="S264" i="1" s="1"/>
  <c r="L89" i="1"/>
  <c r="R89" i="1" s="1"/>
  <c r="S89" i="1" s="1"/>
  <c r="L217" i="1"/>
  <c r="R217" i="1" s="1"/>
  <c r="S217" i="1" s="1"/>
  <c r="L31" i="1"/>
  <c r="R31" i="1" s="1"/>
  <c r="S31" i="1" s="1"/>
  <c r="L159" i="1"/>
  <c r="R159" i="1" s="1"/>
  <c r="S159" i="1" s="1"/>
  <c r="L287" i="1"/>
  <c r="R287" i="1" s="1"/>
  <c r="S287" i="1" s="1"/>
  <c r="L144" i="1"/>
  <c r="R144" i="1" s="1"/>
  <c r="S144" i="1" s="1"/>
  <c r="L64" i="1"/>
  <c r="R64" i="1" s="1"/>
  <c r="S64" i="1" s="1"/>
  <c r="L2" i="1"/>
  <c r="R2" i="1" s="1"/>
  <c r="S2" i="1" s="1"/>
  <c r="L254" i="1"/>
  <c r="R254" i="1" s="1"/>
  <c r="S254" i="1" s="1"/>
  <c r="L115" i="1"/>
  <c r="R115" i="1" s="1"/>
  <c r="S115" i="1" s="1"/>
  <c r="L260" i="1"/>
  <c r="R260" i="1" s="1"/>
  <c r="S260" i="1" s="1"/>
  <c r="L42" i="1"/>
  <c r="R42" i="1" s="1"/>
  <c r="S42" i="1" s="1"/>
  <c r="L251" i="1"/>
  <c r="R251" i="1" s="1"/>
  <c r="S251" i="1" s="1"/>
  <c r="L268" i="1"/>
  <c r="R268" i="1" s="1"/>
  <c r="S268" i="1" s="1"/>
  <c r="L229" i="1"/>
  <c r="R229" i="1" s="1"/>
  <c r="S229" i="1" s="1"/>
  <c r="L280" i="1"/>
  <c r="R280" i="1" s="1"/>
  <c r="S280" i="1" s="1"/>
  <c r="L46" i="1"/>
  <c r="R46" i="1" s="1"/>
  <c r="S46" i="1" s="1"/>
  <c r="L243" i="1"/>
  <c r="R243" i="1" s="1"/>
  <c r="S243" i="1" s="1"/>
  <c r="L21" i="1"/>
  <c r="R21" i="1" s="1"/>
  <c r="S21" i="1" s="1"/>
  <c r="L170" i="1"/>
  <c r="R170" i="1" s="1"/>
  <c r="S170" i="1" s="1"/>
  <c r="L187" i="1"/>
  <c r="R187" i="1" s="1"/>
  <c r="S187" i="1" s="1"/>
  <c r="L204" i="1"/>
  <c r="R204" i="1" s="1"/>
  <c r="S204" i="1" s="1"/>
  <c r="L157" i="1"/>
  <c r="R157" i="1" s="1"/>
  <c r="S157" i="1" s="1"/>
  <c r="L114" i="1"/>
  <c r="R114" i="1" s="1"/>
  <c r="S114" i="1" s="1"/>
  <c r="L242" i="1"/>
  <c r="R242" i="1" s="1"/>
  <c r="S242" i="1" s="1"/>
  <c r="L102" i="1"/>
  <c r="R102" i="1" s="1"/>
  <c r="S102" i="1" s="1"/>
  <c r="L8" i="1"/>
  <c r="R8" i="1" s="1"/>
  <c r="S8" i="1" s="1"/>
  <c r="L3" i="1"/>
  <c r="R3" i="1" s="1"/>
  <c r="S3" i="1" s="1"/>
  <c r="L259" i="1"/>
  <c r="R259" i="1" s="1"/>
  <c r="S259" i="1" s="1"/>
  <c r="L84" i="1"/>
  <c r="R84" i="1" s="1"/>
  <c r="S84" i="1" s="1"/>
  <c r="L276" i="1"/>
  <c r="R276" i="1" s="1"/>
  <c r="S276" i="1" s="1"/>
  <c r="L165" i="1"/>
  <c r="R165" i="1" s="1"/>
  <c r="S165" i="1" s="1"/>
  <c r="L122" i="1"/>
  <c r="R122" i="1" s="1"/>
  <c r="S122" i="1" s="1"/>
  <c r="L250" i="1"/>
  <c r="R250" i="1" s="1"/>
  <c r="S250" i="1" s="1"/>
  <c r="L289" i="1"/>
  <c r="R289" i="1" s="1"/>
  <c r="S289" i="1" s="1"/>
  <c r="L246" i="1"/>
  <c r="R246" i="1" s="1"/>
  <c r="S246" i="1" s="1"/>
  <c r="L24" i="1"/>
  <c r="R24" i="1" s="1"/>
  <c r="S24" i="1" s="1"/>
  <c r="L47" i="1"/>
  <c r="R47" i="1" s="1"/>
  <c r="S47" i="1" s="1"/>
  <c r="L128" i="1"/>
  <c r="R128" i="1" s="1"/>
  <c r="S128" i="1" s="1"/>
  <c r="L75" i="1"/>
  <c r="R75" i="1" s="1"/>
  <c r="S75" i="1" s="1"/>
  <c r="L267" i="1"/>
  <c r="R267" i="1" s="1"/>
  <c r="S267" i="1" s="1"/>
  <c r="L156" i="1"/>
  <c r="R156" i="1" s="1"/>
  <c r="S156" i="1" s="1"/>
  <c r="L45" i="1"/>
  <c r="R45" i="1" s="1"/>
  <c r="S45" i="1" s="1"/>
  <c r="L173" i="1"/>
  <c r="R173" i="1" s="1"/>
  <c r="S173" i="1" s="1"/>
  <c r="L237" i="1"/>
  <c r="R237" i="1" s="1"/>
  <c r="S237" i="1" s="1"/>
  <c r="L301" i="1"/>
  <c r="R301" i="1" s="1"/>
  <c r="S301" i="1" s="1"/>
  <c r="L66" i="1"/>
  <c r="R66" i="1" s="1"/>
  <c r="S66" i="1" s="1"/>
  <c r="L130" i="1"/>
  <c r="R130" i="1" s="1"/>
  <c r="S130" i="1" s="1"/>
  <c r="L194" i="1"/>
  <c r="R194" i="1" s="1"/>
  <c r="S194" i="1" s="1"/>
  <c r="L258" i="1"/>
  <c r="R258" i="1" s="1"/>
  <c r="S258" i="1" s="1"/>
  <c r="L49" i="1"/>
  <c r="R49" i="1"/>
  <c r="S49" i="1" s="1"/>
  <c r="L177" i="1"/>
  <c r="R177" i="1" s="1"/>
  <c r="S177" i="1" s="1"/>
  <c r="L6" i="1"/>
  <c r="R6" i="1"/>
  <c r="S6" i="1" s="1"/>
  <c r="L134" i="1"/>
  <c r="R134" i="1" s="1"/>
  <c r="S134" i="1" s="1"/>
  <c r="L262" i="1"/>
  <c r="R262" i="1" s="1"/>
  <c r="S262" i="1" s="1"/>
  <c r="L87" i="1"/>
  <c r="R87" i="1" s="1"/>
  <c r="S87" i="1" s="1"/>
  <c r="L215" i="1"/>
  <c r="R215" i="1" s="1"/>
  <c r="S215" i="1" s="1"/>
  <c r="L40" i="1"/>
  <c r="R40" i="1" s="1"/>
  <c r="S40" i="1" s="1"/>
  <c r="L168" i="1"/>
  <c r="R168" i="1" s="1"/>
  <c r="S168" i="1" s="1"/>
  <c r="L296" i="1"/>
  <c r="R296" i="1" s="1"/>
  <c r="S296" i="1" s="1"/>
  <c r="L121" i="1"/>
  <c r="R121" i="1" s="1"/>
  <c r="S121" i="1" s="1"/>
  <c r="L249" i="1"/>
  <c r="R249" i="1" s="1"/>
  <c r="S249" i="1" s="1"/>
  <c r="L63" i="1"/>
  <c r="R63" i="1" s="1"/>
  <c r="S63" i="1" s="1"/>
  <c r="L191" i="1"/>
  <c r="R191" i="1" s="1"/>
  <c r="S191" i="1" s="1"/>
  <c r="L78" i="1"/>
  <c r="R78" i="1"/>
  <c r="S78" i="1" s="1"/>
  <c r="L286" i="1"/>
  <c r="R286" i="1" s="1"/>
  <c r="S286" i="1" s="1"/>
  <c r="L206" i="1"/>
  <c r="R206" i="1" s="1"/>
  <c r="S206" i="1" s="1"/>
  <c r="L176" i="1"/>
  <c r="R176" i="1" s="1"/>
  <c r="S176" i="1" s="1"/>
  <c r="L96" i="1"/>
  <c r="R96" i="1" s="1"/>
  <c r="S96" i="1" s="1"/>
  <c r="L99" i="1"/>
  <c r="R99" i="1" s="1"/>
  <c r="S99" i="1" s="1"/>
  <c r="L4" i="1"/>
  <c r="R4" i="1" s="1"/>
  <c r="S4" i="1" s="1"/>
  <c r="L85" i="1"/>
  <c r="R85" i="1" s="1"/>
  <c r="S85" i="1" s="1"/>
  <c r="L234" i="1"/>
  <c r="R234" i="1" s="1"/>
  <c r="S234" i="1" s="1"/>
  <c r="L59" i="1"/>
  <c r="R59" i="1" s="1"/>
  <c r="S59" i="1" s="1"/>
  <c r="L140" i="1"/>
  <c r="R140" i="1" s="1"/>
  <c r="S140" i="1" s="1"/>
  <c r="L93" i="1"/>
  <c r="R93" i="1" s="1"/>
  <c r="S93" i="1" s="1"/>
  <c r="L285" i="1"/>
  <c r="R285" i="1" s="1"/>
  <c r="S285" i="1" s="1"/>
  <c r="L17" i="1"/>
  <c r="R17" i="1" s="1"/>
  <c r="S17" i="1" s="1"/>
  <c r="L230" i="1"/>
  <c r="R230" i="1" s="1"/>
  <c r="S230" i="1" s="1"/>
  <c r="L183" i="1"/>
  <c r="R183" i="1"/>
  <c r="S183" i="1" s="1"/>
  <c r="L67" i="1"/>
  <c r="R67" i="1" s="1"/>
  <c r="S67" i="1" s="1"/>
  <c r="L195" i="1"/>
  <c r="R195" i="1" s="1"/>
  <c r="S195" i="1" s="1"/>
  <c r="L148" i="1"/>
  <c r="R148" i="1" s="1"/>
  <c r="S148" i="1" s="1"/>
  <c r="L37" i="1"/>
  <c r="R37" i="1" s="1"/>
  <c r="S37" i="1" s="1"/>
  <c r="L293" i="1"/>
  <c r="R293" i="1" s="1"/>
  <c r="S293" i="1" s="1"/>
  <c r="L186" i="1"/>
  <c r="R186" i="1" s="1"/>
  <c r="S186" i="1" s="1"/>
  <c r="L161" i="1"/>
  <c r="R161" i="1"/>
  <c r="S161" i="1" s="1"/>
  <c r="L71" i="1"/>
  <c r="R71" i="1" s="1"/>
  <c r="S71" i="1" s="1"/>
  <c r="L152" i="1"/>
  <c r="R152" i="1" s="1"/>
  <c r="S152" i="1" s="1"/>
  <c r="L233" i="1"/>
  <c r="R233" i="1" s="1"/>
  <c r="S233" i="1" s="1"/>
  <c r="L222" i="1"/>
  <c r="R222" i="1" s="1"/>
  <c r="S222" i="1" s="1"/>
  <c r="L48" i="1"/>
  <c r="R48" i="1" s="1"/>
  <c r="S48" i="1" s="1"/>
  <c r="L11" i="1"/>
  <c r="R11" i="1" s="1"/>
  <c r="S11" i="1" s="1"/>
  <c r="L203" i="1"/>
  <c r="R203" i="1" s="1"/>
  <c r="S203" i="1" s="1"/>
  <c r="L92" i="1"/>
  <c r="R92" i="1" s="1"/>
  <c r="S92" i="1" s="1"/>
  <c r="L284" i="1"/>
  <c r="R284" i="1" s="1"/>
  <c r="S284" i="1" s="1"/>
  <c r="L19" i="1"/>
  <c r="R19" i="1" s="1"/>
  <c r="S19" i="1" s="1"/>
  <c r="L147" i="1"/>
  <c r="R147" i="1" s="1"/>
  <c r="S147" i="1" s="1"/>
  <c r="L36" i="1"/>
  <c r="R36" i="1" s="1"/>
  <c r="S36" i="1" s="1"/>
  <c r="L164" i="1"/>
  <c r="R164" i="1" s="1"/>
  <c r="S164" i="1" s="1"/>
  <c r="L53" i="1"/>
  <c r="R53" i="1" s="1"/>
  <c r="S53" i="1" s="1"/>
  <c r="L181" i="1"/>
  <c r="R181" i="1" s="1"/>
  <c r="S181" i="1" s="1"/>
  <c r="L10" i="1"/>
  <c r="R10" i="1" s="1"/>
  <c r="S10" i="1" s="1"/>
  <c r="L138" i="1"/>
  <c r="R138" i="1" s="1"/>
  <c r="S138" i="1" s="1"/>
  <c r="L202" i="1"/>
  <c r="R202" i="1" s="1"/>
  <c r="S202" i="1" s="1"/>
  <c r="L193" i="1"/>
  <c r="R193" i="1" s="1"/>
  <c r="S193" i="1" s="1"/>
  <c r="L278" i="1"/>
  <c r="R278" i="1" s="1"/>
  <c r="S278" i="1" s="1"/>
  <c r="L231" i="1"/>
  <c r="R231" i="1" s="1"/>
  <c r="S231" i="1" s="1"/>
  <c r="L9" i="1"/>
  <c r="R9" i="1"/>
  <c r="S9" i="1" s="1"/>
  <c r="L265" i="1"/>
  <c r="R265" i="1" s="1"/>
  <c r="S265" i="1" s="1"/>
  <c r="L207" i="1"/>
  <c r="R207" i="1" s="1"/>
  <c r="S207" i="1" s="1"/>
  <c r="L270" i="1"/>
  <c r="R270" i="1" s="1"/>
  <c r="S270" i="1" s="1"/>
  <c r="L190" i="1"/>
  <c r="R190" i="1" s="1"/>
  <c r="S190" i="1" s="1"/>
  <c r="L51" i="1"/>
  <c r="R51" i="1" s="1"/>
  <c r="S51" i="1" s="1"/>
  <c r="L68" i="1"/>
  <c r="R68" i="1" s="1"/>
  <c r="S68" i="1" s="1"/>
  <c r="L149" i="1"/>
  <c r="R149" i="1" s="1"/>
  <c r="S149" i="1" s="1"/>
  <c r="L298" i="1"/>
  <c r="R298" i="1" s="1"/>
  <c r="S298" i="1" s="1"/>
  <c r="L123" i="1"/>
  <c r="R123" i="1" s="1"/>
  <c r="S123" i="1" s="1"/>
  <c r="L76" i="1"/>
  <c r="R76" i="1" s="1"/>
  <c r="S76" i="1" s="1"/>
  <c r="L29" i="1"/>
  <c r="R29" i="1" s="1"/>
  <c r="S29" i="1" s="1"/>
  <c r="L221" i="1"/>
  <c r="R221" i="1" s="1"/>
  <c r="S221" i="1" s="1"/>
  <c r="L178" i="1"/>
  <c r="R178" i="1" s="1"/>
  <c r="S178" i="1" s="1"/>
  <c r="L273" i="1"/>
  <c r="R273" i="1" s="1"/>
  <c r="S273" i="1" s="1"/>
  <c r="L136" i="1"/>
  <c r="R136" i="1" s="1"/>
  <c r="S136" i="1" s="1"/>
  <c r="L131" i="1"/>
  <c r="R131" i="1" s="1"/>
  <c r="S131" i="1" s="1"/>
  <c r="L20" i="1"/>
  <c r="R20" i="1" s="1"/>
  <c r="S20" i="1" s="1"/>
  <c r="L212" i="1"/>
  <c r="R212" i="1" s="1"/>
  <c r="S212" i="1" s="1"/>
  <c r="L101" i="1"/>
  <c r="R101" i="1" s="1"/>
  <c r="S101" i="1" s="1"/>
  <c r="L58" i="1"/>
  <c r="R58" i="1" s="1"/>
  <c r="S58" i="1" s="1"/>
  <c r="L33" i="1"/>
  <c r="R33" i="1" s="1"/>
  <c r="S33" i="1" s="1"/>
  <c r="L118" i="1"/>
  <c r="R118" i="1" s="1"/>
  <c r="S118" i="1" s="1"/>
  <c r="L199" i="1"/>
  <c r="R199" i="1" s="1"/>
  <c r="S199" i="1" s="1"/>
  <c r="L105" i="1"/>
  <c r="R105" i="1" s="1"/>
  <c r="S105" i="1" s="1"/>
  <c r="L175" i="1"/>
  <c r="R175" i="1" s="1"/>
  <c r="S175" i="1" s="1"/>
  <c r="L14" i="1"/>
  <c r="R14" i="1" s="1"/>
  <c r="S14" i="1" s="1"/>
  <c r="L139" i="1"/>
  <c r="R139" i="1" s="1"/>
  <c r="S139" i="1" s="1"/>
  <c r="L28" i="1"/>
  <c r="R28" i="1" s="1"/>
  <c r="S28" i="1" s="1"/>
  <c r="L220" i="1"/>
  <c r="R220" i="1" s="1"/>
  <c r="S220" i="1" s="1"/>
  <c r="L109" i="1"/>
  <c r="R109" i="1" s="1"/>
  <c r="S109" i="1" s="1"/>
  <c r="L83" i="1"/>
  <c r="R83" i="1" s="1"/>
  <c r="S83" i="1" s="1"/>
  <c r="L211" i="1"/>
  <c r="R211" i="1" s="1"/>
  <c r="S211" i="1" s="1"/>
  <c r="L275" i="1"/>
  <c r="R275" i="1" s="1"/>
  <c r="S275" i="1" s="1"/>
  <c r="L100" i="1"/>
  <c r="R100" i="1" s="1"/>
  <c r="S100" i="1" s="1"/>
  <c r="L228" i="1"/>
  <c r="R228" i="1" s="1"/>
  <c r="S228" i="1" s="1"/>
  <c r="L292" i="1"/>
  <c r="R292" i="1"/>
  <c r="S292" i="1" s="1"/>
  <c r="L117" i="1"/>
  <c r="R117" i="1" s="1"/>
  <c r="S117" i="1" s="1"/>
  <c r="L245" i="1"/>
  <c r="R245" i="1" s="1"/>
  <c r="S245" i="1" s="1"/>
  <c r="L74" i="1"/>
  <c r="R74" i="1" s="1"/>
  <c r="S74" i="1" s="1"/>
  <c r="L266" i="1"/>
  <c r="R266" i="1" s="1"/>
  <c r="S266" i="1" s="1"/>
  <c r="L65" i="1"/>
  <c r="R65" i="1" s="1"/>
  <c r="S65" i="1" s="1"/>
  <c r="L22" i="1"/>
  <c r="R22" i="1"/>
  <c r="S22" i="1" s="1"/>
  <c r="L150" i="1"/>
  <c r="R150" i="1" s="1"/>
  <c r="S150" i="1" s="1"/>
  <c r="L103" i="1"/>
  <c r="R103" i="1" s="1"/>
  <c r="S103" i="1" s="1"/>
  <c r="L56" i="1"/>
  <c r="R56" i="1" s="1"/>
  <c r="S56" i="1" s="1"/>
  <c r="L184" i="1"/>
  <c r="R184" i="1" s="1"/>
  <c r="S184" i="1" s="1"/>
  <c r="L137" i="1"/>
  <c r="R137" i="1" s="1"/>
  <c r="S137" i="1" s="1"/>
  <c r="L79" i="1"/>
  <c r="R79" i="1" s="1"/>
  <c r="S79" i="1" s="1"/>
  <c r="L142" i="1"/>
  <c r="R142" i="1" s="1"/>
  <c r="S142" i="1" s="1"/>
  <c r="L30" i="1"/>
  <c r="R30" i="1" s="1"/>
  <c r="S30" i="1" s="1"/>
  <c r="L192" i="1"/>
  <c r="R192" i="1"/>
  <c r="S192" i="1" s="1"/>
  <c r="L27" i="1"/>
  <c r="R27" i="1"/>
  <c r="S27" i="1" s="1"/>
  <c r="L91" i="1"/>
  <c r="R91" i="1" s="1"/>
  <c r="S91" i="1" s="1"/>
  <c r="L155" i="1"/>
  <c r="R155" i="1" s="1"/>
  <c r="S155" i="1" s="1"/>
  <c r="L219" i="1"/>
  <c r="R219" i="1" s="1"/>
  <c r="S219" i="1" s="1"/>
  <c r="L283" i="1"/>
  <c r="R283" i="1" s="1"/>
  <c r="S283" i="1" s="1"/>
  <c r="L44" i="1"/>
  <c r="R44" i="1" s="1"/>
  <c r="S44" i="1" s="1"/>
  <c r="L108" i="1"/>
  <c r="R108" i="1" s="1"/>
  <c r="S108" i="1" s="1"/>
  <c r="L172" i="1"/>
  <c r="R172" i="1" s="1"/>
  <c r="S172" i="1" s="1"/>
  <c r="L236" i="1"/>
  <c r="R236" i="1" s="1"/>
  <c r="S236" i="1" s="1"/>
  <c r="L300" i="1"/>
  <c r="R300" i="1" s="1"/>
  <c r="S300" i="1" s="1"/>
  <c r="L61" i="1"/>
  <c r="R61" i="1" s="1"/>
  <c r="S61" i="1" s="1"/>
  <c r="L125" i="1"/>
  <c r="R125" i="1"/>
  <c r="S125" i="1" s="1"/>
  <c r="L189" i="1"/>
  <c r="R189" i="1" s="1"/>
  <c r="S189" i="1" s="1"/>
  <c r="L253" i="1"/>
  <c r="R253" i="1" s="1"/>
  <c r="S253" i="1" s="1"/>
  <c r="L18" i="1"/>
  <c r="R18" i="1"/>
  <c r="S18" i="1" s="1"/>
  <c r="L82" i="1"/>
  <c r="R82" i="1" s="1"/>
  <c r="S82" i="1" s="1"/>
  <c r="L146" i="1"/>
  <c r="R146" i="1"/>
  <c r="S146" i="1" s="1"/>
  <c r="L210" i="1"/>
  <c r="R210" i="1" s="1"/>
  <c r="S210" i="1" s="1"/>
  <c r="L274" i="1"/>
  <c r="R274" i="1" s="1"/>
  <c r="S274" i="1" s="1"/>
  <c r="L81" i="1"/>
  <c r="R81" i="1" s="1"/>
  <c r="S81" i="1" s="1"/>
  <c r="L209" i="1"/>
  <c r="R209" i="1"/>
  <c r="S209" i="1" s="1"/>
  <c r="L38" i="1"/>
  <c r="R38" i="1" s="1"/>
  <c r="S38" i="1" s="1"/>
  <c r="L166" i="1"/>
  <c r="R166" i="1"/>
  <c r="S166" i="1" s="1"/>
  <c r="L294" i="1"/>
  <c r="R294" i="1" s="1"/>
  <c r="S294" i="1" s="1"/>
  <c r="L119" i="1"/>
  <c r="R119" i="1" s="1"/>
  <c r="S119" i="1" s="1"/>
  <c r="L247" i="1"/>
  <c r="R247" i="1" s="1"/>
  <c r="S247" i="1" s="1"/>
  <c r="L72" i="1"/>
  <c r="R72" i="1" s="1"/>
  <c r="S72" i="1" s="1"/>
  <c r="L200" i="1"/>
  <c r="R200" i="1" s="1"/>
  <c r="S200" i="1" s="1"/>
  <c r="L25" i="1"/>
  <c r="R25" i="1" s="1"/>
  <c r="S25" i="1" s="1"/>
  <c r="L153" i="1"/>
  <c r="R153" i="1" s="1"/>
  <c r="S153" i="1" s="1"/>
  <c r="L281" i="1"/>
  <c r="R281" i="1" s="1"/>
  <c r="S281" i="1" s="1"/>
  <c r="L95" i="1"/>
  <c r="R95" i="1" s="1"/>
  <c r="S95" i="1" s="1"/>
  <c r="L223" i="1"/>
  <c r="R223" i="1"/>
  <c r="S223" i="1" s="1"/>
  <c r="L208" i="1"/>
  <c r="R208" i="1" s="1"/>
  <c r="S208" i="1" s="1"/>
  <c r="L94" i="1"/>
  <c r="R94" i="1" s="1"/>
  <c r="S94" i="1" s="1"/>
  <c r="L126" i="1"/>
  <c r="R126" i="1" s="1"/>
  <c r="S126" i="1" s="1"/>
  <c r="L62" i="1"/>
  <c r="R62" i="1"/>
  <c r="S62" i="1" s="1"/>
  <c r="L240" i="1"/>
  <c r="R240" i="1" s="1"/>
  <c r="S240" i="1" s="1"/>
</calcChain>
</file>

<file path=xl/sharedStrings.xml><?xml version="1.0" encoding="utf-8"?>
<sst xmlns="http://schemas.openxmlformats.org/spreadsheetml/2006/main" count="619" uniqueCount="320">
  <si>
    <t>Shipment ID</t>
  </si>
  <si>
    <t>Order date</t>
  </si>
  <si>
    <t>Planned Delivery Date</t>
  </si>
  <si>
    <t>Delivery Date</t>
  </si>
  <si>
    <t>Client</t>
  </si>
  <si>
    <t>Country</t>
  </si>
  <si>
    <t>City</t>
  </si>
  <si>
    <t>Transport Type</t>
  </si>
  <si>
    <t>Carrier</t>
  </si>
  <si>
    <t>Shipment Status</t>
  </si>
  <si>
    <t>Revenue</t>
  </si>
  <si>
    <t>Transport Cost</t>
  </si>
  <si>
    <t>Weight KG</t>
  </si>
  <si>
    <t>Distance KM</t>
  </si>
  <si>
    <t>Delivery Days</t>
  </si>
  <si>
    <t>Delivery Performance</t>
  </si>
  <si>
    <t>SH0001</t>
  </si>
  <si>
    <t>SH0002</t>
  </si>
  <si>
    <t>SH0003</t>
  </si>
  <si>
    <t>SH0004</t>
  </si>
  <si>
    <t>SH0005</t>
  </si>
  <si>
    <t>SH0006</t>
  </si>
  <si>
    <t>SH0007</t>
  </si>
  <si>
    <t>SH0008</t>
  </si>
  <si>
    <t>SH0009</t>
  </si>
  <si>
    <t>SH0010</t>
  </si>
  <si>
    <t>SH0011</t>
  </si>
  <si>
    <t>SH0012</t>
  </si>
  <si>
    <t>SH0013</t>
  </si>
  <si>
    <t>SH0014</t>
  </si>
  <si>
    <t>SH0015</t>
  </si>
  <si>
    <t>SH0016</t>
  </si>
  <si>
    <t>SH0017</t>
  </si>
  <si>
    <t>SH0018</t>
  </si>
  <si>
    <t>SH0019</t>
  </si>
  <si>
    <t>SH0020</t>
  </si>
  <si>
    <t>SH0021</t>
  </si>
  <si>
    <t>SH0022</t>
  </si>
  <si>
    <t>SH0023</t>
  </si>
  <si>
    <t>SH0024</t>
  </si>
  <si>
    <t>SH0025</t>
  </si>
  <si>
    <t>SH0026</t>
  </si>
  <si>
    <t>SH0027</t>
  </si>
  <si>
    <t>SH0028</t>
  </si>
  <si>
    <t>SH0029</t>
  </si>
  <si>
    <t>SH0030</t>
  </si>
  <si>
    <t>SH0031</t>
  </si>
  <si>
    <t>SH0032</t>
  </si>
  <si>
    <t>SH0033</t>
  </si>
  <si>
    <t>SH0034</t>
  </si>
  <si>
    <t>SH0035</t>
  </si>
  <si>
    <t>SH0036</t>
  </si>
  <si>
    <t>SH0037</t>
  </si>
  <si>
    <t>SH0038</t>
  </si>
  <si>
    <t>SH0039</t>
  </si>
  <si>
    <t>SH0040</t>
  </si>
  <si>
    <t>SH0041</t>
  </si>
  <si>
    <t>SH0042</t>
  </si>
  <si>
    <t>SH0043</t>
  </si>
  <si>
    <t>SH0044</t>
  </si>
  <si>
    <t>SH0045</t>
  </si>
  <si>
    <t>SH0046</t>
  </si>
  <si>
    <t>SH0047</t>
  </si>
  <si>
    <t>SH0048</t>
  </si>
  <si>
    <t>SH0049</t>
  </si>
  <si>
    <t>SH0050</t>
  </si>
  <si>
    <t>SH0051</t>
  </si>
  <si>
    <t>SH0052</t>
  </si>
  <si>
    <t>SH0053</t>
  </si>
  <si>
    <t>SH0054</t>
  </si>
  <si>
    <t>SH0055</t>
  </si>
  <si>
    <t>SH0056</t>
  </si>
  <si>
    <t>SH0057</t>
  </si>
  <si>
    <t>SH0058</t>
  </si>
  <si>
    <t>SH0059</t>
  </si>
  <si>
    <t>SH0060</t>
  </si>
  <si>
    <t>SH0061</t>
  </si>
  <si>
    <t>SH0062</t>
  </si>
  <si>
    <t>SH0063</t>
  </si>
  <si>
    <t>SH0064</t>
  </si>
  <si>
    <t>SH0065</t>
  </si>
  <si>
    <t>SH0066</t>
  </si>
  <si>
    <t>SH0067</t>
  </si>
  <si>
    <t>SH0068</t>
  </si>
  <si>
    <t>SH0069</t>
  </si>
  <si>
    <t>SH0070</t>
  </si>
  <si>
    <t>SH0071</t>
  </si>
  <si>
    <t>SH0072</t>
  </si>
  <si>
    <t>SH0073</t>
  </si>
  <si>
    <t>SH0074</t>
  </si>
  <si>
    <t>SH0075</t>
  </si>
  <si>
    <t>SH0076</t>
  </si>
  <si>
    <t>SH0077</t>
  </si>
  <si>
    <t>SH0078</t>
  </si>
  <si>
    <t>SH0079</t>
  </si>
  <si>
    <t>SH0080</t>
  </si>
  <si>
    <t>SH0081</t>
  </si>
  <si>
    <t>SH0082</t>
  </si>
  <si>
    <t>SH0083</t>
  </si>
  <si>
    <t>SH0084</t>
  </si>
  <si>
    <t>SH0085</t>
  </si>
  <si>
    <t>SH0086</t>
  </si>
  <si>
    <t>SH0087</t>
  </si>
  <si>
    <t>SH0088</t>
  </si>
  <si>
    <t>SH0089</t>
  </si>
  <si>
    <t>SH0090</t>
  </si>
  <si>
    <t>SH0091</t>
  </si>
  <si>
    <t>SH0092</t>
  </si>
  <si>
    <t>SH0093</t>
  </si>
  <si>
    <t>SH0094</t>
  </si>
  <si>
    <t>SH0095</t>
  </si>
  <si>
    <t>SH0096</t>
  </si>
  <si>
    <t>SH0097</t>
  </si>
  <si>
    <t>SH0098</t>
  </si>
  <si>
    <t>SH0099</t>
  </si>
  <si>
    <t>SH0100</t>
  </si>
  <si>
    <t>SH0101</t>
  </si>
  <si>
    <t>SH0102</t>
  </si>
  <si>
    <t>SH0103</t>
  </si>
  <si>
    <t>SH0104</t>
  </si>
  <si>
    <t>SH0105</t>
  </si>
  <si>
    <t>SH0106</t>
  </si>
  <si>
    <t>SH0107</t>
  </si>
  <si>
    <t>SH0108</t>
  </si>
  <si>
    <t>SH0109</t>
  </si>
  <si>
    <t>SH0110</t>
  </si>
  <si>
    <t>SH0111</t>
  </si>
  <si>
    <t>SH0112</t>
  </si>
  <si>
    <t>SH0113</t>
  </si>
  <si>
    <t>SH0114</t>
  </si>
  <si>
    <t>SH0115</t>
  </si>
  <si>
    <t>SH0116</t>
  </si>
  <si>
    <t>SH0117</t>
  </si>
  <si>
    <t>SH0118</t>
  </si>
  <si>
    <t>SH0119</t>
  </si>
  <si>
    <t>SH0120</t>
  </si>
  <si>
    <t>SH0121</t>
  </si>
  <si>
    <t>SH0122</t>
  </si>
  <si>
    <t>SH0123</t>
  </si>
  <si>
    <t>SH0124</t>
  </si>
  <si>
    <t>SH0125</t>
  </si>
  <si>
    <t>SH0126</t>
  </si>
  <si>
    <t>SH0127</t>
  </si>
  <si>
    <t>SH0128</t>
  </si>
  <si>
    <t>SH0129</t>
  </si>
  <si>
    <t>SH0130</t>
  </si>
  <si>
    <t>SH0131</t>
  </si>
  <si>
    <t>SH0132</t>
  </si>
  <si>
    <t>SH0133</t>
  </si>
  <si>
    <t>SH0134</t>
  </si>
  <si>
    <t>SH0135</t>
  </si>
  <si>
    <t>SH0136</t>
  </si>
  <si>
    <t>SH0137</t>
  </si>
  <si>
    <t>SH0138</t>
  </si>
  <si>
    <t>SH0139</t>
  </si>
  <si>
    <t>SH0140</t>
  </si>
  <si>
    <t>SH0141</t>
  </si>
  <si>
    <t>SH0142</t>
  </si>
  <si>
    <t>SH0143</t>
  </si>
  <si>
    <t>SH0144</t>
  </si>
  <si>
    <t>SH0145</t>
  </si>
  <si>
    <t>SH0146</t>
  </si>
  <si>
    <t>SH0147</t>
  </si>
  <si>
    <t>SH0148</t>
  </si>
  <si>
    <t>SH0149</t>
  </si>
  <si>
    <t>SH0150</t>
  </si>
  <si>
    <t>SH0151</t>
  </si>
  <si>
    <t>SH0152</t>
  </si>
  <si>
    <t>SH0153</t>
  </si>
  <si>
    <t>SH0154</t>
  </si>
  <si>
    <t>SH0155</t>
  </si>
  <si>
    <t>SH0156</t>
  </si>
  <si>
    <t>SH0157</t>
  </si>
  <si>
    <t>SH0158</t>
  </si>
  <si>
    <t>SH0159</t>
  </si>
  <si>
    <t>SH0160</t>
  </si>
  <si>
    <t>SH0161</t>
  </si>
  <si>
    <t>SH0162</t>
  </si>
  <si>
    <t>SH0163</t>
  </si>
  <si>
    <t>SH0164</t>
  </si>
  <si>
    <t>SH0165</t>
  </si>
  <si>
    <t>SH0166</t>
  </si>
  <si>
    <t>SH0167</t>
  </si>
  <si>
    <t>SH0168</t>
  </si>
  <si>
    <t>SH0169</t>
  </si>
  <si>
    <t>SH0170</t>
  </si>
  <si>
    <t>SH0171</t>
  </si>
  <si>
    <t>SH0172</t>
  </si>
  <si>
    <t>SH0173</t>
  </si>
  <si>
    <t>SH0174</t>
  </si>
  <si>
    <t>SH0175</t>
  </si>
  <si>
    <t>SH0176</t>
  </si>
  <si>
    <t>SH0177</t>
  </si>
  <si>
    <t>SH0178</t>
  </si>
  <si>
    <t>SH0179</t>
  </si>
  <si>
    <t>SH0180</t>
  </si>
  <si>
    <t>SH0181</t>
  </si>
  <si>
    <t>SH0182</t>
  </si>
  <si>
    <t>SH0183</t>
  </si>
  <si>
    <t>SH0184</t>
  </si>
  <si>
    <t>SH0185</t>
  </si>
  <si>
    <t>SH0186</t>
  </si>
  <si>
    <t>SH0187</t>
  </si>
  <si>
    <t>SH0188</t>
  </si>
  <si>
    <t>SH0189</t>
  </si>
  <si>
    <t>SH0190</t>
  </si>
  <si>
    <t>SH0191</t>
  </si>
  <si>
    <t>SH0192</t>
  </si>
  <si>
    <t>SH0193</t>
  </si>
  <si>
    <t>SH0194</t>
  </si>
  <si>
    <t>SH0195</t>
  </si>
  <si>
    <t>SH0196</t>
  </si>
  <si>
    <t>SH0197</t>
  </si>
  <si>
    <t>SH0198</t>
  </si>
  <si>
    <t>SH0199</t>
  </si>
  <si>
    <t>SH0200</t>
  </si>
  <si>
    <t>SH0201</t>
  </si>
  <si>
    <t>SH0202</t>
  </si>
  <si>
    <t>SH0203</t>
  </si>
  <si>
    <t>SH0204</t>
  </si>
  <si>
    <t>SH0205</t>
  </si>
  <si>
    <t>SH0206</t>
  </si>
  <si>
    <t>SH0207</t>
  </si>
  <si>
    <t>SH0208</t>
  </si>
  <si>
    <t>SH0209</t>
  </si>
  <si>
    <t>SH0210</t>
  </si>
  <si>
    <t>SH0211</t>
  </si>
  <si>
    <t>SH0212</t>
  </si>
  <si>
    <t>SH0213</t>
  </si>
  <si>
    <t>SH0214</t>
  </si>
  <si>
    <t>SH0215</t>
  </si>
  <si>
    <t>SH0216</t>
  </si>
  <si>
    <t>SH0217</t>
  </si>
  <si>
    <t>SH0218</t>
  </si>
  <si>
    <t>SH0219</t>
  </si>
  <si>
    <t>SH0220</t>
  </si>
  <si>
    <t>SH0221</t>
  </si>
  <si>
    <t>SH0222</t>
  </si>
  <si>
    <t>SH0223</t>
  </si>
  <si>
    <t>SH0224</t>
  </si>
  <si>
    <t>SH0225</t>
  </si>
  <si>
    <t>SH0226</t>
  </si>
  <si>
    <t>SH0227</t>
  </si>
  <si>
    <t>SH0228</t>
  </si>
  <si>
    <t>SH0229</t>
  </si>
  <si>
    <t>SH0230</t>
  </si>
  <si>
    <t>SH0231</t>
  </si>
  <si>
    <t>SH0232</t>
  </si>
  <si>
    <t>SH0233</t>
  </si>
  <si>
    <t>SH0234</t>
  </si>
  <si>
    <t>SH0235</t>
  </si>
  <si>
    <t>SH0236</t>
  </si>
  <si>
    <t>SH0237</t>
  </si>
  <si>
    <t>SH0238</t>
  </si>
  <si>
    <t>SH0239</t>
  </si>
  <si>
    <t>SH0240</t>
  </si>
  <si>
    <t>SH0241</t>
  </si>
  <si>
    <t>SH0242</t>
  </si>
  <si>
    <t>SH0243</t>
  </si>
  <si>
    <t>SH0244</t>
  </si>
  <si>
    <t>SH0245</t>
  </si>
  <si>
    <t>SH0246</t>
  </si>
  <si>
    <t>SH0247</t>
  </si>
  <si>
    <t>SH0248</t>
  </si>
  <si>
    <t>SH0249</t>
  </si>
  <si>
    <t>SH0250</t>
  </si>
  <si>
    <t>SH0251</t>
  </si>
  <si>
    <t>SH0252</t>
  </si>
  <si>
    <t>SH0253</t>
  </si>
  <si>
    <t>SH0254</t>
  </si>
  <si>
    <t>SH0255</t>
  </si>
  <si>
    <t>SH0256</t>
  </si>
  <si>
    <t>SH0257</t>
  </si>
  <si>
    <t>SH0258</t>
  </si>
  <si>
    <t>SH0259</t>
  </si>
  <si>
    <t>SH0260</t>
  </si>
  <si>
    <t>SH0261</t>
  </si>
  <si>
    <t>SH0262</t>
  </si>
  <si>
    <t>SH0263</t>
  </si>
  <si>
    <t>SH0264</t>
  </si>
  <si>
    <t>SH0265</t>
  </si>
  <si>
    <t>SH0266</t>
  </si>
  <si>
    <t>SH0267</t>
  </si>
  <si>
    <t>SH0268</t>
  </si>
  <si>
    <t>SH0269</t>
  </si>
  <si>
    <t>SH0270</t>
  </si>
  <si>
    <t>SH0271</t>
  </si>
  <si>
    <t>SH0272</t>
  </si>
  <si>
    <t>SH0273</t>
  </si>
  <si>
    <t>SH0274</t>
  </si>
  <si>
    <t>SH0275</t>
  </si>
  <si>
    <t>SH0276</t>
  </si>
  <si>
    <t>SH0277</t>
  </si>
  <si>
    <t>SH0278</t>
  </si>
  <si>
    <t>SH0279</t>
  </si>
  <si>
    <t>SH0280</t>
  </si>
  <si>
    <t>SH0281</t>
  </si>
  <si>
    <t>SH0282</t>
  </si>
  <si>
    <t>SH0283</t>
  </si>
  <si>
    <t>SH0284</t>
  </si>
  <si>
    <t>SH0285</t>
  </si>
  <si>
    <t>SH0286</t>
  </si>
  <si>
    <t>SH0287</t>
  </si>
  <si>
    <t>SH0288</t>
  </si>
  <si>
    <t>SH0289</t>
  </si>
  <si>
    <t>SH0290</t>
  </si>
  <si>
    <t>SH0291</t>
  </si>
  <si>
    <t>SH0292</t>
  </si>
  <si>
    <t>SH0293</t>
  </si>
  <si>
    <t>SH0294</t>
  </si>
  <si>
    <t>SH0295</t>
  </si>
  <si>
    <t>SH0296</t>
  </si>
  <si>
    <t>SH0297</t>
  </si>
  <si>
    <t>SH0298</t>
  </si>
  <si>
    <t>SH0299</t>
  </si>
  <si>
    <t>SH0300</t>
  </si>
  <si>
    <t>Delivered</t>
  </si>
  <si>
    <t>Delay Days</t>
  </si>
  <si>
    <t xml:space="preserve">Profit </t>
  </si>
  <si>
    <t>Profit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</si>
</sst>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\-mm\-yyyy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7" fontId="0" fillId="0" borderId="0" xfId="0" applyNumberForma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167" formatCode="dd\-mm\-yyyy"/>
    </dxf>
    <dxf>
      <numFmt numFmtId="167" formatCode="dd\-mm\-yyyy"/>
    </dxf>
    <dxf>
      <numFmt numFmtId="167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519ED3-7C19-7F49-A1A8-3A6681C37795}" name="Table2" displayName="Table2" ref="A1:S301" totalsRowShown="0" headerRowDxfId="4">
  <autoFilter ref="A1:S301" xr:uid="{5B519ED3-7C19-7F49-A1A8-3A6681C37795}"/>
  <tableColumns count="19">
    <tableColumn id="1" xr3:uid="{D2999FE7-91FA-864A-AC6E-009C8F576722}" name="Shipment ID"/>
    <tableColumn id="2" xr3:uid="{A0D760E2-078C-BB4A-9545-6D0276832AF1}" name="Order date" dataDxfId="8">
      <calculatedColumnFormula>DATE(2026,1,1)+RANDBETWEEN(0,180)</calculatedColumnFormula>
    </tableColumn>
    <tableColumn id="3" xr3:uid="{4E7E3336-95C1-9849-B2C2-D6F7FFBF6625}" name="Planned Delivery Date" dataDxfId="7">
      <calculatedColumnFormula>B2+RANDBETWEEN(2,10)</calculatedColumnFormula>
    </tableColumn>
    <tableColumn id="4" xr3:uid="{F15890F3-A753-114B-894B-83F0917C8A10}" name="Delivery Date" dataDxfId="6">
      <calculatedColumnFormula>C2+RANDBETWEEN(-1,5)</calculatedColumnFormula>
    </tableColumn>
    <tableColumn id="5" xr3:uid="{ABCFF79E-4AC4-3840-9776-A9C5A54EA422}" name="Client">
      <calculatedColumnFormula>CHOOSE(RANDBETWEEN(1,8), "IKEA", "Samsung", "Zara", "Allegro", "Bosch", "Decathlon", "H&amp;M", "Philips")</calculatedColumnFormula>
    </tableColumn>
    <tableColumn id="6" xr3:uid="{74DCE4A8-396A-4B47-A39C-CC49524C8A1B}" name="Country">
      <calculatedColumnFormula>CHOOSE(RANDBETWEEN(1,6), "Poland", "Germany", "France", "Czech Republic", "Spain", "Italy")</calculatedColumnFormula>
    </tableColumn>
    <tableColumn id="7" xr3:uid="{9C493B14-7B2F-5C43-B3FF-E3E23217C69E}" name="City">
      <calculatedColumnFormula>IF(F2="Poland",CHOOSE(RANDBETWEEN(1,3),"Warsaw","Krakow","Gdansk"),
IF(F2="Germany",CHOOSE(RANDBETWEEN(1,3),"Berlin","Hamburg","Munich"),
IF(F2="Czech Republic","Prague",
IF(F2="Netherlands","Amsterdam",
IF(F2="France",CHOOSE(RANDBETWEEN(1,2),"Paris","Lyon"),
IF(F2="Spain",CHOOSE(RANDBETWEEN(1,2),"Madrid","Barcelona"),
IF(F2="Italy",CHOOSE(RANDBETWEEN(1,2),"Rome","Milan"),"")))))))</calculatedColumnFormula>
    </tableColumn>
    <tableColumn id="8" xr3:uid="{F1C19AE8-BFC8-DE4B-9523-22D4B4944847}" name="Transport Type">
      <calculatedColumnFormula>CHOOSE(RANDBETWEEN(1,4), "Road", "Air", "Sea", "Rail")</calculatedColumnFormula>
    </tableColumn>
    <tableColumn id="9" xr3:uid="{8C112000-711E-204D-8B0B-DC37F926857A}" name="Carrier">
      <calculatedColumnFormula>IF(H2="Sea",CHOOSE(RANDBETWEEN(1,2),"Maersk","Kuehne+Nagel"),
IF(H2="Air",CHOOSE(RANDBETWEEN(1,3),"DHL","UPS","FedEx"),
IF(H2="Rail",CHOOSE(RANDBETWEEN(1,2),"DB Schenker","Kuehne+Nagel"),
IF(H2="Road",CHOOSE(RANDBETWEEN(1,5),"DHL","DB Schenker","UPS","FedEx","GLS"),""))))</calculatedColumnFormula>
    </tableColumn>
    <tableColumn id="10" xr3:uid="{CC4817A8-E349-4542-B692-9FA0F01C47D6}" name="Shipment Status"/>
    <tableColumn id="11" xr3:uid="{45BAB812-9AEF-C44A-B868-3E755C7884E1}" name="Revenue">
      <calculatedColumnFormula>IF(H2="Road",RANDBETWEEN(500,2500),IF(H2="Rail",RANDBETWEEN(800,3000),IF(H2="Sea",RANDBETWEEN(1500,5000),IF(H2="Air",RANDBETWEEN(2000,6000),""))))</calculatedColumnFormula>
    </tableColumn>
    <tableColumn id="12" xr3:uid="{00B39772-F03C-B74F-B112-5AB8E452A45B}" name="Transport Cost">
      <calculatedColumnFormula>K2*RANDBETWEEN(55,85)/100</calculatedColumnFormula>
    </tableColumn>
    <tableColumn id="13" xr3:uid="{7A88C5E4-573D-9F4A-9523-AD47D8FBE82C}" name="Weight KG">
      <calculatedColumnFormula>IF(H2="Air",RANDBETWEEN(50,800),IF(H2="Road",RANDBETWEEN(200,5000),IF(H2="Rail",RANDBETWEEN(1000,10000),IF(H2="Sea",RANDBETWEEN(2000,15000),""))))</calculatedColumnFormula>
    </tableColumn>
    <tableColumn id="14" xr3:uid="{F8FADF0D-8C83-394A-B3FD-2DF6B505422C}" name="Distance KM">
      <calculatedColumnFormula>IF(F2="Poland",RANDBETWEEN(50,600),IF(F2="Germany",RANDBETWEEN(500,1200),IF(F2="Czech Republic",RANDBETWEEN(500,900),IF(F2="Netherlands",RANDBETWEEN(1000,1400),IF(F2="France",RANDBETWEEN(1200,1800),IF(F2="Spain",RANDBETWEEN(2000,2600),IF(F2="Italy",RANDBETWEEN(1200,2000),"")))))))</calculatedColumnFormula>
    </tableColumn>
    <tableColumn id="15" xr3:uid="{E7B45E1D-514E-6746-BEF1-4C57134492CD}" name="Delivery Days" dataDxfId="5">
      <calculatedColumnFormula>Table2[[#This Row],[Delivery Date]]-Table2[[#This Row],[Order date]]</calculatedColumnFormula>
    </tableColumn>
    <tableColumn id="16" xr3:uid="{4E0908B0-7870-7840-A371-199DB6F59A0F}" name="Delay Days" dataDxfId="3">
      <calculatedColumnFormula>MAX(0,Table2[[#This Row],[Delivery Date]]-Table2[[#This Row],[Planned Delivery Date]])</calculatedColumnFormula>
    </tableColumn>
    <tableColumn id="17" xr3:uid="{18473FB5-F832-DA4C-A601-E7C0CBBA30C5}" name="Delivery Performance" dataDxfId="2">
      <calculatedColumnFormula>IF(Table2[[#This Row],[Delivery Date]]&lt;=Table2[[#This Row],[Planned Delivery Date]],"On Time","Delayed")</calculatedColumnFormula>
    </tableColumn>
    <tableColumn id="18" xr3:uid="{598B43C9-E599-8E40-B184-B49C85771CCD}" name="Profit " dataDxfId="1">
      <calculatedColumnFormula>Table2[[#This Row],[Revenue]]-Table2[[#This Row],[Transport Cost]]</calculatedColumnFormula>
    </tableColumn>
    <tableColumn id="19" xr3:uid="{F01D103C-7B73-584B-8D4B-988D81B7F041}" name="Profit Margins" dataDxfId="0">
      <calculatedColumnFormula>IFERROR(R2/K2,0)</calculatedColumnFormula>
    </tableColumn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A358-810D-A541-9A57-737D88F4DC55}">
  <dimension ref="A1:S301"/>
  <sheetViews>
    <sheetView tabSelected="1" topLeftCell="F1" zoomScale="90" zoomScaleNormal="90" workbookViewId="0">
      <selection activeCell="F28" sqref="F28"/>
    </sheetView>
  </sheetViews>
  <sheetFormatPr baseColWidth="10" defaultRowHeight="16" x14ac:dyDescent="0.2"/>
  <cols>
    <col min="1" max="1" width="13.6640625" customWidth="1"/>
    <col min="2" max="2" width="13" customWidth="1"/>
    <col min="3" max="3" width="22" customWidth="1"/>
    <col min="4" max="4" width="15" customWidth="1"/>
    <col min="6" max="6" width="13.6640625" customWidth="1"/>
    <col min="8" max="8" width="15.83203125" customWidth="1"/>
    <col min="9" max="9" width="13.6640625" customWidth="1"/>
    <col min="10" max="10" width="17" customWidth="1"/>
    <col min="12" max="12" width="15.33203125" customWidth="1"/>
    <col min="13" max="13" width="12.5" customWidth="1"/>
    <col min="14" max="14" width="14" customWidth="1"/>
    <col min="15" max="15" width="17.83203125" bestFit="1" customWidth="1"/>
    <col min="16" max="16" width="21.5" customWidth="1"/>
    <col min="17" max="17" width="25" customWidth="1"/>
    <col min="18" max="18" width="14.33203125" customWidth="1"/>
  </cols>
  <sheetData>
    <row r="1" spans="1:19" ht="34" x14ac:dyDescent="0.2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3" t="s">
        <v>317</v>
      </c>
      <c r="Q1" s="2" t="s">
        <v>15</v>
      </c>
      <c r="R1" s="3" t="s">
        <v>318</v>
      </c>
      <c r="S1" s="3" t="s">
        <v>319</v>
      </c>
    </row>
    <row r="2" spans="1:19" x14ac:dyDescent="0.2">
      <c r="A2" t="s">
        <v>16</v>
      </c>
      <c r="B2" s="1">
        <f ca="1">DATE(2026,1,1)+RANDBETWEEN(0,180)</f>
        <v>46040</v>
      </c>
      <c r="C2" s="1">
        <f ca="1">B2+RANDBETWEEN(2,10)</f>
        <v>46050</v>
      </c>
      <c r="D2" s="1">
        <f ca="1">C2+RANDBETWEEN(-1,5)</f>
        <v>46050</v>
      </c>
      <c r="E2" t="str">
        <f ca="1">CHOOSE(RANDBETWEEN(1,8), "IKEA", "Samsung", "Zara", "Allegro", "Bosch", "Decathlon", "H&amp;M", "Philips")</f>
        <v>H&amp;M</v>
      </c>
      <c r="F2" t="str">
        <f ca="1">CHOOSE(RANDBETWEEN(1,6), "Poland", "Germany", "France", "Czech Republic", "Spain", "Italy")</f>
        <v>France</v>
      </c>
      <c r="G2" t="str">
        <f ca="1">IF(F2="Poland",CHOOSE(RANDBETWEEN(1,3),"Warsaw","Krakow","Gdansk"),
IF(F2="Germany",CHOOSE(RANDBETWEEN(1,3),"Berlin","Hamburg","Munich"),
IF(F2="Czech Republic","Prague",
IF(F2="Netherlands","Amsterdam",
IF(F2="France",CHOOSE(RANDBETWEEN(1,2),"Paris","Lyon"),
IF(F2="Spain",CHOOSE(RANDBETWEEN(1,2),"Madrid","Barcelona"),
IF(F2="Italy",CHOOSE(RANDBETWEEN(1,2),"Rome","Milan"),"")))))))</f>
        <v>Lyon</v>
      </c>
      <c r="H2" t="str">
        <f ca="1">CHOOSE(RANDBETWEEN(1,4), "Road", "Air", "Sea", "Rail")</f>
        <v>Sea</v>
      </c>
      <c r="I2" t="str">
        <f ca="1">IF(H2="Sea",CHOOSE(RANDBETWEEN(1,2),"Maersk","Kuehne+Nagel"),
IF(H2="Air",CHOOSE(RANDBETWEEN(1,3),"DHL","UPS","FedEx"),
IF(H2="Rail",CHOOSE(RANDBETWEEN(1,2),"DB Schenker","Kuehne+Nagel"),
IF(H2="Road",CHOOSE(RANDBETWEEN(1,5),"DHL","DB Schenker","UPS","FedEx","GLS"),""))))</f>
        <v>Kuehne+Nagel</v>
      </c>
      <c r="J2" t="s">
        <v>316</v>
      </c>
      <c r="K2">
        <f ca="1">IF(H2="Road",RANDBETWEEN(500,2500),IF(H2="Rail",RANDBETWEEN(800,3000),IF(H2="Sea",RANDBETWEEN(1500,5000),IF(H2="Air",RANDBETWEEN(2000,6000),""))))</f>
        <v>3465</v>
      </c>
      <c r="L2">
        <f ca="1">K2*RANDBETWEEN(55,85)/100</f>
        <v>1975.05</v>
      </c>
      <c r="M2">
        <f ca="1">IF(H2="Air",RANDBETWEEN(50,800),IF(H2="Road",RANDBETWEEN(200,5000),IF(H2="Rail",RANDBETWEEN(1000,10000),IF(H2="Sea",RANDBETWEEN(2000,15000),""))))</f>
        <v>4558</v>
      </c>
      <c r="N2">
        <f ca="1">IF(F2="Poland",RANDBETWEEN(50,600),IF(F2="Germany",RANDBETWEEN(500,1200),IF(F2="Czech Republic",RANDBETWEEN(500,900),IF(F2="Netherlands",RANDBETWEEN(1000,1400),IF(F2="France",RANDBETWEEN(1200,1800),IF(F2="Spain",RANDBETWEEN(2000,2600),IF(F2="Italy",RANDBETWEEN(1200,2000),"")))))))</f>
        <v>1580</v>
      </c>
      <c r="O2">
        <f ca="1">Table2[[#This Row],[Delivery Date]]-Table2[[#This Row],[Order date]]</f>
        <v>10</v>
      </c>
      <c r="P2">
        <f ca="1">MAX(0,Table2[[#This Row],[Delivery Date]]-Table2[[#This Row],[Planned Delivery Date]])</f>
        <v>0</v>
      </c>
      <c r="Q2" t="str">
        <f ca="1">IF(Table2[[#This Row],[Delivery Date]]&lt;=Table2[[#This Row],[Planned Delivery Date]],"On Time","Delayed")</f>
        <v>On Time</v>
      </c>
      <c r="R2">
        <f ca="1">Table2[[#This Row],[Revenue]]-Table2[[#This Row],[Transport Cost]]</f>
        <v>1489.95</v>
      </c>
      <c r="S2" s="4">
        <f t="shared" ref="S2:S65" ca="1" si="0">IFERROR(R2/K2,0)</f>
        <v>0.43</v>
      </c>
    </row>
    <row r="3" spans="1:19" x14ac:dyDescent="0.2">
      <c r="A3" t="s">
        <v>17</v>
      </c>
      <c r="B3" s="1">
        <f t="shared" ref="B3:C66" ca="1" si="1">DATE(2026,1,1)+RANDBETWEEN(0,180)</f>
        <v>46030</v>
      </c>
      <c r="C3" s="1">
        <f t="shared" ref="C3:C66" ca="1" si="2">B3+RANDBETWEEN(2,10)</f>
        <v>46036</v>
      </c>
      <c r="D3" s="1">
        <f t="shared" ref="D3:D66" ca="1" si="3">C3+RANDBETWEEN(-1,5)</f>
        <v>46035</v>
      </c>
      <c r="E3" t="str">
        <f t="shared" ref="E3:E66" ca="1" si="4">CHOOSE(RANDBETWEEN(1,8), "IKEA", "Samsung", "Zara", "Allegro", "Bosch", "Decathlon", "H&amp;M", "Philips")</f>
        <v>IKEA</v>
      </c>
      <c r="F3" t="str">
        <f t="shared" ref="F3:F66" ca="1" si="5">CHOOSE(RANDBETWEEN(1,6), "Poland", "Germany", "France", "Czech Republic", "Spain", "Italy")</f>
        <v>Germany</v>
      </c>
      <c r="G3" t="str">
        <f t="shared" ref="G3:G66" ca="1" si="6">IF(F3="Poland",CHOOSE(RANDBETWEEN(1,3),"Warsaw","Krakow","Gdansk"),
IF(F3="Germany",CHOOSE(RANDBETWEEN(1,3),"Berlin","Hamburg","Munich"),
IF(F3="Czech Republic","Prague",
IF(F3="Netherlands","Amsterdam",
IF(F3="France",CHOOSE(RANDBETWEEN(1,2),"Paris","Lyon"),
IF(F3="Spain",CHOOSE(RANDBETWEEN(1,2),"Madrid","Barcelona"),
IF(F3="Italy",CHOOSE(RANDBETWEEN(1,2),"Rome","Milan"),"")))))))</f>
        <v>Hamburg</v>
      </c>
      <c r="H3" t="str">
        <f t="shared" ref="H3:H66" ca="1" si="7">CHOOSE(RANDBETWEEN(1,4), "Road", "Air", "Sea", "Rail")</f>
        <v>Road</v>
      </c>
      <c r="I3" t="str">
        <f t="shared" ref="I3:I66" ca="1" si="8">IF(H3="Sea",CHOOSE(RANDBETWEEN(1,2),"Maersk","Kuehne+Nagel"),
IF(H3="Air",CHOOSE(RANDBETWEEN(1,3),"DHL","UPS","FedEx"),
IF(H3="Rail",CHOOSE(RANDBETWEEN(1,2),"DB Schenker","Kuehne+Nagel"),
IF(H3="Road",CHOOSE(RANDBETWEEN(1,5),"DHL","DB Schenker","UPS","FedEx","GLS"),""))))</f>
        <v>DB Schenker</v>
      </c>
      <c r="J3" t="s">
        <v>316</v>
      </c>
      <c r="K3">
        <f t="shared" ref="K3:K66" ca="1" si="9">IF(H3="Road",RANDBETWEEN(500,2500),IF(H3="Rail",RANDBETWEEN(800,3000),IF(H3="Sea",RANDBETWEEN(1500,5000),IF(H3="Air",RANDBETWEEN(2000,6000),""))))</f>
        <v>1209</v>
      </c>
      <c r="L3">
        <f t="shared" ref="L3:L66" ca="1" si="10">K3*RANDBETWEEN(55,85)/100</f>
        <v>943.02</v>
      </c>
      <c r="M3">
        <f t="shared" ref="M3:M66" ca="1" si="11">IF(H3="Air",RANDBETWEEN(50,800),IF(H3="Road",RANDBETWEEN(200,5000),IF(H3="Rail",RANDBETWEEN(1000,10000),IF(H3="Sea",RANDBETWEEN(2000,15000),""))))</f>
        <v>1471</v>
      </c>
      <c r="N3">
        <f t="shared" ref="N3:N66" ca="1" si="12">IF(F3="Poland",RANDBETWEEN(50,600),IF(F3="Germany",RANDBETWEEN(500,1200),IF(F3="Czech Republic",RANDBETWEEN(500,900),IF(F3="Netherlands",RANDBETWEEN(1000,1400),IF(F3="France",RANDBETWEEN(1200,1800),IF(F3="Spain",RANDBETWEEN(2000,2600),IF(F3="Italy",RANDBETWEEN(1200,2000),"")))))))</f>
        <v>757</v>
      </c>
      <c r="O3">
        <f ca="1">Table2[[#This Row],[Delivery Date]]-Table2[[#This Row],[Order date]]</f>
        <v>5</v>
      </c>
      <c r="P3">
        <f ca="1">MAX(0,Table2[[#This Row],[Delivery Date]]-Table2[[#This Row],[Planned Delivery Date]])</f>
        <v>0</v>
      </c>
      <c r="Q3" t="str">
        <f ca="1">IF(Table2[[#This Row],[Delivery Date]]&lt;=Table2[[#This Row],[Planned Delivery Date]],"On Time","Delayed")</f>
        <v>On Time</v>
      </c>
      <c r="R3">
        <f ca="1">Table2[[#This Row],[Revenue]]-Table2[[#This Row],[Transport Cost]]</f>
        <v>265.98</v>
      </c>
      <c r="S3" s="4">
        <f t="shared" ca="1" si="0"/>
        <v>0.22000000000000003</v>
      </c>
    </row>
    <row r="4" spans="1:19" x14ac:dyDescent="0.2">
      <c r="A4" t="s">
        <v>18</v>
      </c>
      <c r="B4" s="1">
        <f t="shared" ca="1" si="1"/>
        <v>46024</v>
      </c>
      <c r="C4" s="1">
        <f t="shared" ca="1" si="2"/>
        <v>46033</v>
      </c>
      <c r="D4" s="1">
        <f t="shared" ca="1" si="3"/>
        <v>46033</v>
      </c>
      <c r="E4" t="str">
        <f t="shared" ca="1" si="4"/>
        <v>Allegro</v>
      </c>
      <c r="F4" t="str">
        <f t="shared" ca="1" si="5"/>
        <v>Italy</v>
      </c>
      <c r="G4" t="str">
        <f t="shared" ca="1" si="6"/>
        <v>Milan</v>
      </c>
      <c r="H4" t="str">
        <f t="shared" ca="1" si="7"/>
        <v>Rail</v>
      </c>
      <c r="I4" t="str">
        <f t="shared" ca="1" si="8"/>
        <v>DB Schenker</v>
      </c>
      <c r="J4" t="s">
        <v>316</v>
      </c>
      <c r="K4">
        <f t="shared" ca="1" si="9"/>
        <v>1327</v>
      </c>
      <c r="L4">
        <f t="shared" ca="1" si="10"/>
        <v>902.36</v>
      </c>
      <c r="M4">
        <f t="shared" ca="1" si="11"/>
        <v>8864</v>
      </c>
      <c r="N4">
        <f t="shared" ca="1" si="12"/>
        <v>1896</v>
      </c>
      <c r="O4">
        <f ca="1">Table2[[#This Row],[Delivery Date]]-Table2[[#This Row],[Order date]]</f>
        <v>9</v>
      </c>
      <c r="P4">
        <f ca="1">MAX(0,Table2[[#This Row],[Delivery Date]]-Table2[[#This Row],[Planned Delivery Date]])</f>
        <v>0</v>
      </c>
      <c r="Q4" t="str">
        <f ca="1">IF(Table2[[#This Row],[Delivery Date]]&lt;=Table2[[#This Row],[Planned Delivery Date]],"On Time","Delayed")</f>
        <v>On Time</v>
      </c>
      <c r="R4">
        <f ca="1">Table2[[#This Row],[Revenue]]-Table2[[#This Row],[Transport Cost]]</f>
        <v>424.64</v>
      </c>
      <c r="S4" s="4">
        <f t="shared" ca="1" si="0"/>
        <v>0.32</v>
      </c>
    </row>
    <row r="5" spans="1:19" x14ac:dyDescent="0.2">
      <c r="A5" t="s">
        <v>19</v>
      </c>
      <c r="B5" s="1">
        <f t="shared" ca="1" si="1"/>
        <v>46141</v>
      </c>
      <c r="C5" s="1">
        <f t="shared" ca="1" si="2"/>
        <v>46151</v>
      </c>
      <c r="D5" s="1">
        <f t="shared" ca="1" si="3"/>
        <v>46155</v>
      </c>
      <c r="E5" t="str">
        <f t="shared" ca="1" si="4"/>
        <v>Philips</v>
      </c>
      <c r="F5" t="str">
        <f t="shared" ca="1" si="5"/>
        <v>Italy</v>
      </c>
      <c r="G5" t="str">
        <f t="shared" ca="1" si="6"/>
        <v>Rome</v>
      </c>
      <c r="H5" t="str">
        <f t="shared" ca="1" si="7"/>
        <v>Sea</v>
      </c>
      <c r="I5" t="str">
        <f t="shared" ca="1" si="8"/>
        <v>Maersk</v>
      </c>
      <c r="J5" t="s">
        <v>316</v>
      </c>
      <c r="K5">
        <f t="shared" ca="1" si="9"/>
        <v>3832</v>
      </c>
      <c r="L5">
        <f t="shared" ca="1" si="10"/>
        <v>3142.24</v>
      </c>
      <c r="M5">
        <f t="shared" ca="1" si="11"/>
        <v>12660</v>
      </c>
      <c r="N5">
        <f t="shared" ca="1" si="12"/>
        <v>1815</v>
      </c>
      <c r="O5">
        <f ca="1">Table2[[#This Row],[Delivery Date]]-Table2[[#This Row],[Order date]]</f>
        <v>14</v>
      </c>
      <c r="P5">
        <f ca="1">MAX(0,Table2[[#This Row],[Delivery Date]]-Table2[[#This Row],[Planned Delivery Date]])</f>
        <v>4</v>
      </c>
      <c r="Q5" t="str">
        <f ca="1">IF(Table2[[#This Row],[Delivery Date]]&lt;=Table2[[#This Row],[Planned Delivery Date]],"On Time","Delayed")</f>
        <v>Delayed</v>
      </c>
      <c r="R5">
        <f ca="1">Table2[[#This Row],[Revenue]]-Table2[[#This Row],[Transport Cost]]</f>
        <v>689.76000000000022</v>
      </c>
      <c r="S5" s="4">
        <f t="shared" ca="1" si="0"/>
        <v>0.18000000000000005</v>
      </c>
    </row>
    <row r="6" spans="1:19" x14ac:dyDescent="0.2">
      <c r="A6" t="s">
        <v>20</v>
      </c>
      <c r="B6" s="1">
        <f t="shared" ca="1" si="1"/>
        <v>46084</v>
      </c>
      <c r="C6" s="1">
        <f t="shared" ca="1" si="2"/>
        <v>46089</v>
      </c>
      <c r="D6" s="1">
        <f t="shared" ca="1" si="3"/>
        <v>46090</v>
      </c>
      <c r="E6" t="str">
        <f t="shared" ca="1" si="4"/>
        <v>Bosch</v>
      </c>
      <c r="F6" t="str">
        <f t="shared" ca="1" si="5"/>
        <v>France</v>
      </c>
      <c r="G6" t="str">
        <f t="shared" ca="1" si="6"/>
        <v>Lyon</v>
      </c>
      <c r="H6" t="str">
        <f t="shared" ca="1" si="7"/>
        <v>Air</v>
      </c>
      <c r="I6" t="str">
        <f t="shared" ca="1" si="8"/>
        <v>FedEx</v>
      </c>
      <c r="J6" t="s">
        <v>316</v>
      </c>
      <c r="K6">
        <f t="shared" ca="1" si="9"/>
        <v>4806</v>
      </c>
      <c r="L6">
        <f t="shared" ca="1" si="10"/>
        <v>2787.48</v>
      </c>
      <c r="M6">
        <f t="shared" ca="1" si="11"/>
        <v>618</v>
      </c>
      <c r="N6">
        <f t="shared" ca="1" si="12"/>
        <v>1753</v>
      </c>
      <c r="O6">
        <f ca="1">Table2[[#This Row],[Delivery Date]]-Table2[[#This Row],[Order date]]</f>
        <v>6</v>
      </c>
      <c r="P6">
        <f ca="1">MAX(0,Table2[[#This Row],[Delivery Date]]-Table2[[#This Row],[Planned Delivery Date]])</f>
        <v>1</v>
      </c>
      <c r="Q6" t="str">
        <f ca="1">IF(Table2[[#This Row],[Delivery Date]]&lt;=Table2[[#This Row],[Planned Delivery Date]],"On Time","Delayed")</f>
        <v>Delayed</v>
      </c>
      <c r="R6">
        <f ca="1">Table2[[#This Row],[Revenue]]-Table2[[#This Row],[Transport Cost]]</f>
        <v>2018.52</v>
      </c>
      <c r="S6" s="4">
        <f t="shared" ca="1" si="0"/>
        <v>0.42</v>
      </c>
    </row>
    <row r="7" spans="1:19" x14ac:dyDescent="0.2">
      <c r="A7" t="s">
        <v>21</v>
      </c>
      <c r="B7" s="1">
        <f t="shared" ca="1" si="1"/>
        <v>46052</v>
      </c>
      <c r="C7" s="1">
        <f t="shared" ca="1" si="2"/>
        <v>46061</v>
      </c>
      <c r="D7" s="1">
        <f t="shared" ca="1" si="3"/>
        <v>46066</v>
      </c>
      <c r="E7" t="str">
        <f t="shared" ca="1" si="4"/>
        <v>IKEA</v>
      </c>
      <c r="F7" t="str">
        <f t="shared" ca="1" si="5"/>
        <v>Czech Republic</v>
      </c>
      <c r="G7" t="str">
        <f t="shared" ca="1" si="6"/>
        <v>Prague</v>
      </c>
      <c r="H7" t="str">
        <f t="shared" ca="1" si="7"/>
        <v>Sea</v>
      </c>
      <c r="I7" t="str">
        <f t="shared" ca="1" si="8"/>
        <v>Maersk</v>
      </c>
      <c r="J7" t="s">
        <v>316</v>
      </c>
      <c r="K7">
        <f t="shared" ca="1" si="9"/>
        <v>4493</v>
      </c>
      <c r="L7">
        <f t="shared" ca="1" si="10"/>
        <v>3774.12</v>
      </c>
      <c r="M7">
        <f t="shared" ca="1" si="11"/>
        <v>2114</v>
      </c>
      <c r="N7">
        <f t="shared" ca="1" si="12"/>
        <v>736</v>
      </c>
      <c r="O7">
        <f ca="1">Table2[[#This Row],[Delivery Date]]-Table2[[#This Row],[Order date]]</f>
        <v>14</v>
      </c>
      <c r="P7">
        <f ca="1">MAX(0,Table2[[#This Row],[Delivery Date]]-Table2[[#This Row],[Planned Delivery Date]])</f>
        <v>5</v>
      </c>
      <c r="Q7" t="str">
        <f ca="1">IF(Table2[[#This Row],[Delivery Date]]&lt;=Table2[[#This Row],[Planned Delivery Date]],"On Time","Delayed")</f>
        <v>Delayed</v>
      </c>
      <c r="R7">
        <f ca="1">Table2[[#This Row],[Revenue]]-Table2[[#This Row],[Transport Cost]]</f>
        <v>718.88000000000011</v>
      </c>
      <c r="S7" s="4">
        <f t="shared" ca="1" si="0"/>
        <v>0.16000000000000003</v>
      </c>
    </row>
    <row r="8" spans="1:19" x14ac:dyDescent="0.2">
      <c r="A8" t="s">
        <v>22</v>
      </c>
      <c r="B8" s="1">
        <f t="shared" ca="1" si="1"/>
        <v>46169</v>
      </c>
      <c r="C8" s="1">
        <f t="shared" ca="1" si="2"/>
        <v>46177</v>
      </c>
      <c r="D8" s="1">
        <f t="shared" ca="1" si="3"/>
        <v>46176</v>
      </c>
      <c r="E8" t="str">
        <f t="shared" ca="1" si="4"/>
        <v>Zara</v>
      </c>
      <c r="F8" t="str">
        <f t="shared" ca="1" si="5"/>
        <v>Germany</v>
      </c>
      <c r="G8" t="str">
        <f t="shared" ca="1" si="6"/>
        <v>Munich</v>
      </c>
      <c r="H8" t="str">
        <f t="shared" ca="1" si="7"/>
        <v>Sea</v>
      </c>
      <c r="I8" t="str">
        <f t="shared" ca="1" si="8"/>
        <v>Kuehne+Nagel</v>
      </c>
      <c r="J8" t="s">
        <v>316</v>
      </c>
      <c r="K8">
        <f t="shared" ca="1" si="9"/>
        <v>2715</v>
      </c>
      <c r="L8">
        <f t="shared" ca="1" si="10"/>
        <v>2172</v>
      </c>
      <c r="M8">
        <f t="shared" ca="1" si="11"/>
        <v>9943</v>
      </c>
      <c r="N8">
        <f t="shared" ca="1" si="12"/>
        <v>737</v>
      </c>
      <c r="O8">
        <f ca="1">Table2[[#This Row],[Delivery Date]]-Table2[[#This Row],[Order date]]</f>
        <v>7</v>
      </c>
      <c r="P8">
        <f ca="1">MAX(0,Table2[[#This Row],[Delivery Date]]-Table2[[#This Row],[Planned Delivery Date]])</f>
        <v>0</v>
      </c>
      <c r="Q8" t="str">
        <f ca="1">IF(Table2[[#This Row],[Delivery Date]]&lt;=Table2[[#This Row],[Planned Delivery Date]],"On Time","Delayed")</f>
        <v>On Time</v>
      </c>
      <c r="R8">
        <f ca="1">Table2[[#This Row],[Revenue]]-Table2[[#This Row],[Transport Cost]]</f>
        <v>543</v>
      </c>
      <c r="S8" s="4">
        <f t="shared" ca="1" si="0"/>
        <v>0.2</v>
      </c>
    </row>
    <row r="9" spans="1:19" x14ac:dyDescent="0.2">
      <c r="A9" t="s">
        <v>23</v>
      </c>
      <c r="B9" s="1">
        <f t="shared" ca="1" si="1"/>
        <v>46043</v>
      </c>
      <c r="C9" s="1">
        <f t="shared" ca="1" si="2"/>
        <v>46048</v>
      </c>
      <c r="D9" s="1">
        <f t="shared" ca="1" si="3"/>
        <v>46049</v>
      </c>
      <c r="E9" t="str">
        <f t="shared" ca="1" si="4"/>
        <v>IKEA</v>
      </c>
      <c r="F9" t="str">
        <f t="shared" ca="1" si="5"/>
        <v>Poland</v>
      </c>
      <c r="G9" t="str">
        <f t="shared" ca="1" si="6"/>
        <v>Warsaw</v>
      </c>
      <c r="H9" t="str">
        <f t="shared" ca="1" si="7"/>
        <v>Air</v>
      </c>
      <c r="I9" t="str">
        <f t="shared" ca="1" si="8"/>
        <v>UPS</v>
      </c>
      <c r="J9" t="s">
        <v>316</v>
      </c>
      <c r="K9">
        <f t="shared" ca="1" si="9"/>
        <v>2134</v>
      </c>
      <c r="L9">
        <f t="shared" ca="1" si="10"/>
        <v>1707.2</v>
      </c>
      <c r="M9">
        <f t="shared" ca="1" si="11"/>
        <v>73</v>
      </c>
      <c r="N9">
        <f t="shared" ca="1" si="12"/>
        <v>76</v>
      </c>
      <c r="O9">
        <f ca="1">Table2[[#This Row],[Delivery Date]]-Table2[[#This Row],[Order date]]</f>
        <v>6</v>
      </c>
      <c r="P9">
        <f ca="1">MAX(0,Table2[[#This Row],[Delivery Date]]-Table2[[#This Row],[Planned Delivery Date]])</f>
        <v>1</v>
      </c>
      <c r="Q9" t="str">
        <f ca="1">IF(Table2[[#This Row],[Delivery Date]]&lt;=Table2[[#This Row],[Planned Delivery Date]],"On Time","Delayed")</f>
        <v>Delayed</v>
      </c>
      <c r="R9">
        <f ca="1">Table2[[#This Row],[Revenue]]-Table2[[#This Row],[Transport Cost]]</f>
        <v>426.79999999999995</v>
      </c>
      <c r="S9" s="4">
        <f t="shared" ca="1" si="0"/>
        <v>0.19999999999999998</v>
      </c>
    </row>
    <row r="10" spans="1:19" x14ac:dyDescent="0.2">
      <c r="A10" t="s">
        <v>24</v>
      </c>
      <c r="B10" s="1">
        <f t="shared" ca="1" si="1"/>
        <v>46140</v>
      </c>
      <c r="C10" s="1">
        <f t="shared" ca="1" si="2"/>
        <v>46149</v>
      </c>
      <c r="D10" s="1">
        <f t="shared" ca="1" si="3"/>
        <v>46152</v>
      </c>
      <c r="E10" t="str">
        <f t="shared" ca="1" si="4"/>
        <v>H&amp;M</v>
      </c>
      <c r="F10" t="str">
        <f t="shared" ca="1" si="5"/>
        <v>Spain</v>
      </c>
      <c r="G10" t="str">
        <f t="shared" ca="1" si="6"/>
        <v>Madrid</v>
      </c>
      <c r="H10" t="str">
        <f t="shared" ca="1" si="7"/>
        <v>Air</v>
      </c>
      <c r="I10" t="str">
        <f t="shared" ca="1" si="8"/>
        <v>UPS</v>
      </c>
      <c r="J10" t="s">
        <v>316</v>
      </c>
      <c r="K10">
        <f t="shared" ca="1" si="9"/>
        <v>2630</v>
      </c>
      <c r="L10">
        <f t="shared" ca="1" si="10"/>
        <v>2077.6999999999998</v>
      </c>
      <c r="M10">
        <f t="shared" ca="1" si="11"/>
        <v>594</v>
      </c>
      <c r="N10">
        <f t="shared" ca="1" si="12"/>
        <v>2277</v>
      </c>
      <c r="O10">
        <f ca="1">Table2[[#This Row],[Delivery Date]]-Table2[[#This Row],[Order date]]</f>
        <v>12</v>
      </c>
      <c r="P10">
        <f ca="1">MAX(0,Table2[[#This Row],[Delivery Date]]-Table2[[#This Row],[Planned Delivery Date]])</f>
        <v>3</v>
      </c>
      <c r="Q10" t="str">
        <f ca="1">IF(Table2[[#This Row],[Delivery Date]]&lt;=Table2[[#This Row],[Planned Delivery Date]],"On Time","Delayed")</f>
        <v>Delayed</v>
      </c>
      <c r="R10">
        <f ca="1">Table2[[#This Row],[Revenue]]-Table2[[#This Row],[Transport Cost]]</f>
        <v>552.30000000000018</v>
      </c>
      <c r="S10" s="4">
        <f t="shared" ca="1" si="0"/>
        <v>0.21000000000000008</v>
      </c>
    </row>
    <row r="11" spans="1:19" x14ac:dyDescent="0.2">
      <c r="A11" t="s">
        <v>25</v>
      </c>
      <c r="B11" s="1">
        <f t="shared" ca="1" si="1"/>
        <v>46046</v>
      </c>
      <c r="C11" s="1">
        <f t="shared" ca="1" si="2"/>
        <v>46051</v>
      </c>
      <c r="D11" s="1">
        <f t="shared" ca="1" si="3"/>
        <v>46051</v>
      </c>
      <c r="E11" t="str">
        <f t="shared" ca="1" si="4"/>
        <v>Samsung</v>
      </c>
      <c r="F11" t="str">
        <f t="shared" ca="1" si="5"/>
        <v>France</v>
      </c>
      <c r="G11" t="str">
        <f t="shared" ca="1" si="6"/>
        <v>Lyon</v>
      </c>
      <c r="H11" t="str">
        <f t="shared" ca="1" si="7"/>
        <v>Road</v>
      </c>
      <c r="I11" t="str">
        <f t="shared" ca="1" si="8"/>
        <v>DHL</v>
      </c>
      <c r="J11" t="s">
        <v>316</v>
      </c>
      <c r="K11">
        <f t="shared" ca="1" si="9"/>
        <v>605</v>
      </c>
      <c r="L11">
        <f t="shared" ca="1" si="10"/>
        <v>514.25</v>
      </c>
      <c r="M11">
        <f t="shared" ca="1" si="11"/>
        <v>1046</v>
      </c>
      <c r="N11">
        <f t="shared" ca="1" si="12"/>
        <v>1672</v>
      </c>
      <c r="O11">
        <f ca="1">Table2[[#This Row],[Delivery Date]]-Table2[[#This Row],[Order date]]</f>
        <v>5</v>
      </c>
      <c r="P11">
        <f ca="1">MAX(0,Table2[[#This Row],[Delivery Date]]-Table2[[#This Row],[Planned Delivery Date]])</f>
        <v>0</v>
      </c>
      <c r="Q11" t="str">
        <f ca="1">IF(Table2[[#This Row],[Delivery Date]]&lt;=Table2[[#This Row],[Planned Delivery Date]],"On Time","Delayed")</f>
        <v>On Time</v>
      </c>
      <c r="R11">
        <f ca="1">Table2[[#This Row],[Revenue]]-Table2[[#This Row],[Transport Cost]]</f>
        <v>90.75</v>
      </c>
      <c r="S11" s="4">
        <f t="shared" ca="1" si="0"/>
        <v>0.15</v>
      </c>
    </row>
    <row r="12" spans="1:19" x14ac:dyDescent="0.2">
      <c r="A12" t="s">
        <v>26</v>
      </c>
      <c r="B12" s="1">
        <f t="shared" ca="1" si="1"/>
        <v>46060</v>
      </c>
      <c r="C12" s="1">
        <f t="shared" ca="1" si="2"/>
        <v>46068</v>
      </c>
      <c r="D12" s="1">
        <f t="shared" ca="1" si="3"/>
        <v>46071</v>
      </c>
      <c r="E12" t="str">
        <f t="shared" ca="1" si="4"/>
        <v>H&amp;M</v>
      </c>
      <c r="F12" t="str">
        <f t="shared" ca="1" si="5"/>
        <v>Czech Republic</v>
      </c>
      <c r="G12" t="str">
        <f t="shared" ca="1" si="6"/>
        <v>Prague</v>
      </c>
      <c r="H12" t="str">
        <f t="shared" ca="1" si="7"/>
        <v>Road</v>
      </c>
      <c r="I12" t="str">
        <f t="shared" ca="1" si="8"/>
        <v>DB Schenker</v>
      </c>
      <c r="J12" t="s">
        <v>316</v>
      </c>
      <c r="K12">
        <f t="shared" ca="1" si="9"/>
        <v>1220</v>
      </c>
      <c r="L12">
        <f t="shared" ca="1" si="10"/>
        <v>927.2</v>
      </c>
      <c r="M12">
        <f t="shared" ca="1" si="11"/>
        <v>4875</v>
      </c>
      <c r="N12">
        <f t="shared" ca="1" si="12"/>
        <v>510</v>
      </c>
      <c r="O12">
        <f ca="1">Table2[[#This Row],[Delivery Date]]-Table2[[#This Row],[Order date]]</f>
        <v>11</v>
      </c>
      <c r="P12">
        <f ca="1">MAX(0,Table2[[#This Row],[Delivery Date]]-Table2[[#This Row],[Planned Delivery Date]])</f>
        <v>3</v>
      </c>
      <c r="Q12" t="str">
        <f ca="1">IF(Table2[[#This Row],[Delivery Date]]&lt;=Table2[[#This Row],[Planned Delivery Date]],"On Time","Delayed")</f>
        <v>Delayed</v>
      </c>
      <c r="R12">
        <f ca="1">Table2[[#This Row],[Revenue]]-Table2[[#This Row],[Transport Cost]]</f>
        <v>292.79999999999995</v>
      </c>
      <c r="S12" s="4">
        <f t="shared" ca="1" si="0"/>
        <v>0.23999999999999996</v>
      </c>
    </row>
    <row r="13" spans="1:19" x14ac:dyDescent="0.2">
      <c r="A13" t="s">
        <v>27</v>
      </c>
      <c r="B13" s="1">
        <f t="shared" ca="1" si="1"/>
        <v>46062</v>
      </c>
      <c r="C13" s="1">
        <f t="shared" ca="1" si="2"/>
        <v>46066</v>
      </c>
      <c r="D13" s="1">
        <f t="shared" ca="1" si="3"/>
        <v>46065</v>
      </c>
      <c r="E13" t="str">
        <f t="shared" ca="1" si="4"/>
        <v>Decathlon</v>
      </c>
      <c r="F13" t="str">
        <f t="shared" ca="1" si="5"/>
        <v>France</v>
      </c>
      <c r="G13" t="str">
        <f t="shared" ca="1" si="6"/>
        <v>Lyon</v>
      </c>
      <c r="H13" t="str">
        <f t="shared" ca="1" si="7"/>
        <v>Sea</v>
      </c>
      <c r="I13" t="str">
        <f t="shared" ca="1" si="8"/>
        <v>Kuehne+Nagel</v>
      </c>
      <c r="J13" t="s">
        <v>316</v>
      </c>
      <c r="K13">
        <f t="shared" ca="1" si="9"/>
        <v>4731</v>
      </c>
      <c r="L13">
        <f t="shared" ca="1" si="10"/>
        <v>3027.84</v>
      </c>
      <c r="M13">
        <f t="shared" ca="1" si="11"/>
        <v>14458</v>
      </c>
      <c r="N13">
        <f t="shared" ca="1" si="12"/>
        <v>1331</v>
      </c>
      <c r="O13">
        <f ca="1">Table2[[#This Row],[Delivery Date]]-Table2[[#This Row],[Order date]]</f>
        <v>3</v>
      </c>
      <c r="P13">
        <f ca="1">MAX(0,Table2[[#This Row],[Delivery Date]]-Table2[[#This Row],[Planned Delivery Date]])</f>
        <v>0</v>
      </c>
      <c r="Q13" t="str">
        <f ca="1">IF(Table2[[#This Row],[Delivery Date]]&lt;=Table2[[#This Row],[Planned Delivery Date]],"On Time","Delayed")</f>
        <v>On Time</v>
      </c>
      <c r="R13">
        <f ca="1">Table2[[#This Row],[Revenue]]-Table2[[#This Row],[Transport Cost]]</f>
        <v>1703.1599999999999</v>
      </c>
      <c r="S13" s="4">
        <f t="shared" ca="1" si="0"/>
        <v>0.36</v>
      </c>
    </row>
    <row r="14" spans="1:19" x14ac:dyDescent="0.2">
      <c r="A14" t="s">
        <v>28</v>
      </c>
      <c r="B14" s="1">
        <f t="shared" ca="1" si="1"/>
        <v>46127</v>
      </c>
      <c r="C14" s="1">
        <f t="shared" ca="1" si="2"/>
        <v>46134</v>
      </c>
      <c r="D14" s="1">
        <f t="shared" ca="1" si="3"/>
        <v>46137</v>
      </c>
      <c r="E14" t="str">
        <f t="shared" ca="1" si="4"/>
        <v>Samsung</v>
      </c>
      <c r="F14" t="str">
        <f t="shared" ca="1" si="5"/>
        <v>Poland</v>
      </c>
      <c r="G14" t="str">
        <f t="shared" ca="1" si="6"/>
        <v>Krakow</v>
      </c>
      <c r="H14" t="str">
        <f t="shared" ca="1" si="7"/>
        <v>Rail</v>
      </c>
      <c r="I14" t="str">
        <f t="shared" ca="1" si="8"/>
        <v>DB Schenker</v>
      </c>
      <c r="J14" t="s">
        <v>316</v>
      </c>
      <c r="K14">
        <f t="shared" ca="1" si="9"/>
        <v>2925</v>
      </c>
      <c r="L14">
        <f t="shared" ca="1" si="10"/>
        <v>1638</v>
      </c>
      <c r="M14">
        <f t="shared" ca="1" si="11"/>
        <v>8689</v>
      </c>
      <c r="N14">
        <f t="shared" ca="1" si="12"/>
        <v>182</v>
      </c>
      <c r="O14">
        <f ca="1">Table2[[#This Row],[Delivery Date]]-Table2[[#This Row],[Order date]]</f>
        <v>10</v>
      </c>
      <c r="P14">
        <f ca="1">MAX(0,Table2[[#This Row],[Delivery Date]]-Table2[[#This Row],[Planned Delivery Date]])</f>
        <v>3</v>
      </c>
      <c r="Q14" t="str">
        <f ca="1">IF(Table2[[#This Row],[Delivery Date]]&lt;=Table2[[#This Row],[Planned Delivery Date]],"On Time","Delayed")</f>
        <v>Delayed</v>
      </c>
      <c r="R14">
        <f ca="1">Table2[[#This Row],[Revenue]]-Table2[[#This Row],[Transport Cost]]</f>
        <v>1287</v>
      </c>
      <c r="S14" s="4">
        <f t="shared" ca="1" si="0"/>
        <v>0.44</v>
      </c>
    </row>
    <row r="15" spans="1:19" x14ac:dyDescent="0.2">
      <c r="A15" t="s">
        <v>29</v>
      </c>
      <c r="B15" s="1">
        <f t="shared" ca="1" si="1"/>
        <v>46186</v>
      </c>
      <c r="C15" s="1">
        <f t="shared" ca="1" si="2"/>
        <v>46192</v>
      </c>
      <c r="D15" s="1">
        <f t="shared" ca="1" si="3"/>
        <v>46191</v>
      </c>
      <c r="E15" t="str">
        <f t="shared" ca="1" si="4"/>
        <v>H&amp;M</v>
      </c>
      <c r="F15" t="str">
        <f t="shared" ca="1" si="5"/>
        <v>Czech Republic</v>
      </c>
      <c r="G15" t="str">
        <f t="shared" ca="1" si="6"/>
        <v>Prague</v>
      </c>
      <c r="H15" t="str">
        <f t="shared" ca="1" si="7"/>
        <v>Air</v>
      </c>
      <c r="I15" t="str">
        <f t="shared" ca="1" si="8"/>
        <v>UPS</v>
      </c>
      <c r="J15" t="s">
        <v>316</v>
      </c>
      <c r="K15">
        <f t="shared" ca="1" si="9"/>
        <v>2622</v>
      </c>
      <c r="L15">
        <f t="shared" ca="1" si="10"/>
        <v>1599.42</v>
      </c>
      <c r="M15">
        <f t="shared" ca="1" si="11"/>
        <v>380</v>
      </c>
      <c r="N15">
        <f t="shared" ca="1" si="12"/>
        <v>614</v>
      </c>
      <c r="O15">
        <f ca="1">Table2[[#This Row],[Delivery Date]]-Table2[[#This Row],[Order date]]</f>
        <v>5</v>
      </c>
      <c r="P15">
        <f ca="1">MAX(0,Table2[[#This Row],[Delivery Date]]-Table2[[#This Row],[Planned Delivery Date]])</f>
        <v>0</v>
      </c>
      <c r="Q15" t="str">
        <f ca="1">IF(Table2[[#This Row],[Delivery Date]]&lt;=Table2[[#This Row],[Planned Delivery Date]],"On Time","Delayed")</f>
        <v>On Time</v>
      </c>
      <c r="R15">
        <f ca="1">Table2[[#This Row],[Revenue]]-Table2[[#This Row],[Transport Cost]]</f>
        <v>1022.5799999999999</v>
      </c>
      <c r="S15" s="4">
        <f t="shared" ca="1" si="0"/>
        <v>0.38999999999999996</v>
      </c>
    </row>
    <row r="16" spans="1:19" x14ac:dyDescent="0.2">
      <c r="A16" t="s">
        <v>30</v>
      </c>
      <c r="B16" s="1">
        <f t="shared" ca="1" si="1"/>
        <v>46059</v>
      </c>
      <c r="C16" s="1">
        <f t="shared" ca="1" si="2"/>
        <v>46066</v>
      </c>
      <c r="D16" s="1">
        <f t="shared" ca="1" si="3"/>
        <v>46065</v>
      </c>
      <c r="E16" t="str">
        <f t="shared" ca="1" si="4"/>
        <v>Allegro</v>
      </c>
      <c r="F16" t="str">
        <f t="shared" ca="1" si="5"/>
        <v>Spain</v>
      </c>
      <c r="G16" t="str">
        <f t="shared" ca="1" si="6"/>
        <v>Madrid</v>
      </c>
      <c r="H16" t="str">
        <f t="shared" ca="1" si="7"/>
        <v>Air</v>
      </c>
      <c r="I16" t="str">
        <f t="shared" ca="1" si="8"/>
        <v>DHL</v>
      </c>
      <c r="J16" t="s">
        <v>316</v>
      </c>
      <c r="K16">
        <f t="shared" ca="1" si="9"/>
        <v>5683</v>
      </c>
      <c r="L16">
        <f t="shared" ca="1" si="10"/>
        <v>3352.97</v>
      </c>
      <c r="M16">
        <f t="shared" ca="1" si="11"/>
        <v>133</v>
      </c>
      <c r="N16">
        <f t="shared" ca="1" si="12"/>
        <v>2214</v>
      </c>
      <c r="O16">
        <f ca="1">Table2[[#This Row],[Delivery Date]]-Table2[[#This Row],[Order date]]</f>
        <v>6</v>
      </c>
      <c r="P16">
        <f ca="1">MAX(0,Table2[[#This Row],[Delivery Date]]-Table2[[#This Row],[Planned Delivery Date]])</f>
        <v>0</v>
      </c>
      <c r="Q16" t="str">
        <f ca="1">IF(Table2[[#This Row],[Delivery Date]]&lt;=Table2[[#This Row],[Planned Delivery Date]],"On Time","Delayed")</f>
        <v>On Time</v>
      </c>
      <c r="R16">
        <f ca="1">Table2[[#This Row],[Revenue]]-Table2[[#This Row],[Transport Cost]]</f>
        <v>2330.0300000000002</v>
      </c>
      <c r="S16" s="4">
        <f t="shared" ca="1" si="0"/>
        <v>0.41000000000000003</v>
      </c>
    </row>
    <row r="17" spans="1:19" x14ac:dyDescent="0.2">
      <c r="A17" t="s">
        <v>31</v>
      </c>
      <c r="B17" s="1">
        <f t="shared" ca="1" si="1"/>
        <v>46048</v>
      </c>
      <c r="C17" s="1">
        <f t="shared" ca="1" si="2"/>
        <v>46051</v>
      </c>
      <c r="D17" s="1">
        <f t="shared" ca="1" si="3"/>
        <v>46055</v>
      </c>
      <c r="E17" t="str">
        <f t="shared" ca="1" si="4"/>
        <v>H&amp;M</v>
      </c>
      <c r="F17" t="str">
        <f t="shared" ca="1" si="5"/>
        <v>Poland</v>
      </c>
      <c r="G17" t="str">
        <f t="shared" ca="1" si="6"/>
        <v>Krakow</v>
      </c>
      <c r="H17" t="str">
        <f t="shared" ca="1" si="7"/>
        <v>Road</v>
      </c>
      <c r="I17" t="str">
        <f t="shared" ca="1" si="8"/>
        <v>DB Schenker</v>
      </c>
      <c r="J17" t="s">
        <v>316</v>
      </c>
      <c r="K17">
        <f t="shared" ca="1" si="9"/>
        <v>1453</v>
      </c>
      <c r="L17">
        <f t="shared" ca="1" si="10"/>
        <v>915.39</v>
      </c>
      <c r="M17">
        <f t="shared" ca="1" si="11"/>
        <v>4574</v>
      </c>
      <c r="N17">
        <f t="shared" ca="1" si="12"/>
        <v>480</v>
      </c>
      <c r="O17">
        <f ca="1">Table2[[#This Row],[Delivery Date]]-Table2[[#This Row],[Order date]]</f>
        <v>7</v>
      </c>
      <c r="P17">
        <f ca="1">MAX(0,Table2[[#This Row],[Delivery Date]]-Table2[[#This Row],[Planned Delivery Date]])</f>
        <v>4</v>
      </c>
      <c r="Q17" t="str">
        <f ca="1">IF(Table2[[#This Row],[Delivery Date]]&lt;=Table2[[#This Row],[Planned Delivery Date]],"On Time","Delayed")</f>
        <v>Delayed</v>
      </c>
      <c r="R17">
        <f ca="1">Table2[[#This Row],[Revenue]]-Table2[[#This Row],[Transport Cost]]</f>
        <v>537.61</v>
      </c>
      <c r="S17" s="4">
        <f t="shared" ca="1" si="0"/>
        <v>0.37</v>
      </c>
    </row>
    <row r="18" spans="1:19" x14ac:dyDescent="0.2">
      <c r="A18" t="s">
        <v>32</v>
      </c>
      <c r="B18" s="1">
        <f t="shared" ca="1" si="1"/>
        <v>46103</v>
      </c>
      <c r="C18" s="1">
        <f t="shared" ca="1" si="2"/>
        <v>46108</v>
      </c>
      <c r="D18" s="1">
        <f t="shared" ca="1" si="3"/>
        <v>46112</v>
      </c>
      <c r="E18" t="str">
        <f t="shared" ca="1" si="4"/>
        <v>IKEA</v>
      </c>
      <c r="F18" t="str">
        <f t="shared" ca="1" si="5"/>
        <v>Poland</v>
      </c>
      <c r="G18" t="str">
        <f t="shared" ca="1" si="6"/>
        <v>Gdansk</v>
      </c>
      <c r="H18" t="str">
        <f t="shared" ca="1" si="7"/>
        <v>Road</v>
      </c>
      <c r="I18" t="str">
        <f t="shared" ca="1" si="8"/>
        <v>DHL</v>
      </c>
      <c r="J18" t="s">
        <v>316</v>
      </c>
      <c r="K18">
        <f t="shared" ca="1" si="9"/>
        <v>812</v>
      </c>
      <c r="L18">
        <f t="shared" ca="1" si="10"/>
        <v>600.88</v>
      </c>
      <c r="M18">
        <f t="shared" ca="1" si="11"/>
        <v>1287</v>
      </c>
      <c r="N18">
        <f t="shared" ca="1" si="12"/>
        <v>420</v>
      </c>
      <c r="O18">
        <f ca="1">Table2[[#This Row],[Delivery Date]]-Table2[[#This Row],[Order date]]</f>
        <v>9</v>
      </c>
      <c r="P18">
        <f ca="1">MAX(0,Table2[[#This Row],[Delivery Date]]-Table2[[#This Row],[Planned Delivery Date]])</f>
        <v>4</v>
      </c>
      <c r="Q18" t="str">
        <f ca="1">IF(Table2[[#This Row],[Delivery Date]]&lt;=Table2[[#This Row],[Planned Delivery Date]],"On Time","Delayed")</f>
        <v>Delayed</v>
      </c>
      <c r="R18">
        <f ca="1">Table2[[#This Row],[Revenue]]-Table2[[#This Row],[Transport Cost]]</f>
        <v>211.12</v>
      </c>
      <c r="S18" s="4">
        <f t="shared" ca="1" si="0"/>
        <v>0.26</v>
      </c>
    </row>
    <row r="19" spans="1:19" x14ac:dyDescent="0.2">
      <c r="A19" t="s">
        <v>33</v>
      </c>
      <c r="B19" s="1">
        <f t="shared" ca="1" si="1"/>
        <v>46153</v>
      </c>
      <c r="C19" s="1">
        <f t="shared" ca="1" si="2"/>
        <v>46159</v>
      </c>
      <c r="D19" s="1">
        <f t="shared" ca="1" si="3"/>
        <v>46163</v>
      </c>
      <c r="E19" t="str">
        <f t="shared" ca="1" si="4"/>
        <v>Bosch</v>
      </c>
      <c r="F19" t="str">
        <f t="shared" ca="1" si="5"/>
        <v>Poland</v>
      </c>
      <c r="G19" t="str">
        <f t="shared" ca="1" si="6"/>
        <v>Warsaw</v>
      </c>
      <c r="H19" t="str">
        <f t="shared" ca="1" si="7"/>
        <v>Road</v>
      </c>
      <c r="I19" t="str">
        <f t="shared" ca="1" si="8"/>
        <v>GLS</v>
      </c>
      <c r="J19" t="s">
        <v>316</v>
      </c>
      <c r="K19">
        <f t="shared" ca="1" si="9"/>
        <v>1625</v>
      </c>
      <c r="L19">
        <f t="shared" ca="1" si="10"/>
        <v>1283.75</v>
      </c>
      <c r="M19">
        <f t="shared" ca="1" si="11"/>
        <v>3400</v>
      </c>
      <c r="N19">
        <f t="shared" ca="1" si="12"/>
        <v>454</v>
      </c>
      <c r="O19">
        <f ca="1">Table2[[#This Row],[Delivery Date]]-Table2[[#This Row],[Order date]]</f>
        <v>10</v>
      </c>
      <c r="P19">
        <f ca="1">MAX(0,Table2[[#This Row],[Delivery Date]]-Table2[[#This Row],[Planned Delivery Date]])</f>
        <v>4</v>
      </c>
      <c r="Q19" t="str">
        <f ca="1">IF(Table2[[#This Row],[Delivery Date]]&lt;=Table2[[#This Row],[Planned Delivery Date]],"On Time","Delayed")</f>
        <v>Delayed</v>
      </c>
      <c r="R19">
        <f ca="1">Table2[[#This Row],[Revenue]]-Table2[[#This Row],[Transport Cost]]</f>
        <v>341.25</v>
      </c>
      <c r="S19" s="4">
        <f t="shared" ca="1" si="0"/>
        <v>0.21</v>
      </c>
    </row>
    <row r="20" spans="1:19" x14ac:dyDescent="0.2">
      <c r="A20" t="s">
        <v>34</v>
      </c>
      <c r="B20" s="1">
        <f t="shared" ca="1" si="1"/>
        <v>46190</v>
      </c>
      <c r="C20" s="1">
        <f t="shared" ca="1" si="2"/>
        <v>46195</v>
      </c>
      <c r="D20" s="1">
        <f t="shared" ca="1" si="3"/>
        <v>46197</v>
      </c>
      <c r="E20" t="str">
        <f t="shared" ca="1" si="4"/>
        <v>Decathlon</v>
      </c>
      <c r="F20" t="str">
        <f t="shared" ca="1" si="5"/>
        <v>Germany</v>
      </c>
      <c r="G20" t="str">
        <f t="shared" ca="1" si="6"/>
        <v>Berlin</v>
      </c>
      <c r="H20" t="str">
        <f t="shared" ca="1" si="7"/>
        <v>Road</v>
      </c>
      <c r="I20" t="str">
        <f t="shared" ca="1" si="8"/>
        <v>GLS</v>
      </c>
      <c r="J20" t="s">
        <v>316</v>
      </c>
      <c r="K20">
        <f t="shared" ca="1" si="9"/>
        <v>1802</v>
      </c>
      <c r="L20">
        <f t="shared" ca="1" si="10"/>
        <v>1045.1600000000001</v>
      </c>
      <c r="M20">
        <f t="shared" ca="1" si="11"/>
        <v>2093</v>
      </c>
      <c r="N20">
        <f t="shared" ca="1" si="12"/>
        <v>1046</v>
      </c>
      <c r="O20">
        <f ca="1">Table2[[#This Row],[Delivery Date]]-Table2[[#This Row],[Order date]]</f>
        <v>7</v>
      </c>
      <c r="P20">
        <f ca="1">MAX(0,Table2[[#This Row],[Delivery Date]]-Table2[[#This Row],[Planned Delivery Date]])</f>
        <v>2</v>
      </c>
      <c r="Q20" t="str">
        <f ca="1">IF(Table2[[#This Row],[Delivery Date]]&lt;=Table2[[#This Row],[Planned Delivery Date]],"On Time","Delayed")</f>
        <v>Delayed</v>
      </c>
      <c r="R20">
        <f ca="1">Table2[[#This Row],[Revenue]]-Table2[[#This Row],[Transport Cost]]</f>
        <v>756.83999999999992</v>
      </c>
      <c r="S20" s="4">
        <f t="shared" ca="1" si="0"/>
        <v>0.41999999999999993</v>
      </c>
    </row>
    <row r="21" spans="1:19" x14ac:dyDescent="0.2">
      <c r="A21" t="s">
        <v>35</v>
      </c>
      <c r="B21" s="1">
        <f t="shared" ca="1" si="1"/>
        <v>46184</v>
      </c>
      <c r="C21" s="1">
        <f t="shared" ca="1" si="2"/>
        <v>46188</v>
      </c>
      <c r="D21" s="1">
        <f t="shared" ca="1" si="3"/>
        <v>46191</v>
      </c>
      <c r="E21" t="str">
        <f t="shared" ca="1" si="4"/>
        <v>Allegro</v>
      </c>
      <c r="F21" t="str">
        <f t="shared" ca="1" si="5"/>
        <v>Italy</v>
      </c>
      <c r="G21" t="str">
        <f t="shared" ca="1" si="6"/>
        <v>Milan</v>
      </c>
      <c r="H21" t="str">
        <f t="shared" ca="1" si="7"/>
        <v>Rail</v>
      </c>
      <c r="I21" t="str">
        <f t="shared" ca="1" si="8"/>
        <v>DB Schenker</v>
      </c>
      <c r="J21" t="s">
        <v>316</v>
      </c>
      <c r="K21">
        <f t="shared" ca="1" si="9"/>
        <v>1550</v>
      </c>
      <c r="L21">
        <f t="shared" ca="1" si="10"/>
        <v>1085</v>
      </c>
      <c r="M21">
        <f t="shared" ca="1" si="11"/>
        <v>8398</v>
      </c>
      <c r="N21">
        <f t="shared" ca="1" si="12"/>
        <v>1423</v>
      </c>
      <c r="O21">
        <f ca="1">Table2[[#This Row],[Delivery Date]]-Table2[[#This Row],[Order date]]</f>
        <v>7</v>
      </c>
      <c r="P21">
        <f ca="1">MAX(0,Table2[[#This Row],[Delivery Date]]-Table2[[#This Row],[Planned Delivery Date]])</f>
        <v>3</v>
      </c>
      <c r="Q21" t="str">
        <f ca="1">IF(Table2[[#This Row],[Delivery Date]]&lt;=Table2[[#This Row],[Planned Delivery Date]],"On Time","Delayed")</f>
        <v>Delayed</v>
      </c>
      <c r="R21">
        <f ca="1">Table2[[#This Row],[Revenue]]-Table2[[#This Row],[Transport Cost]]</f>
        <v>465</v>
      </c>
      <c r="S21" s="4">
        <f t="shared" ca="1" si="0"/>
        <v>0.3</v>
      </c>
    </row>
    <row r="22" spans="1:19" x14ac:dyDescent="0.2">
      <c r="A22" t="s">
        <v>36</v>
      </c>
      <c r="B22" s="1">
        <f t="shared" ca="1" si="1"/>
        <v>46167</v>
      </c>
      <c r="C22" s="1">
        <f t="shared" ca="1" si="2"/>
        <v>46174</v>
      </c>
      <c r="D22" s="1">
        <f t="shared" ca="1" si="3"/>
        <v>46176</v>
      </c>
      <c r="E22" t="str">
        <f t="shared" ca="1" si="4"/>
        <v>Decathlon</v>
      </c>
      <c r="F22" t="str">
        <f t="shared" ca="1" si="5"/>
        <v>Czech Republic</v>
      </c>
      <c r="G22" t="str">
        <f t="shared" ca="1" si="6"/>
        <v>Prague</v>
      </c>
      <c r="H22" t="str">
        <f t="shared" ca="1" si="7"/>
        <v>Road</v>
      </c>
      <c r="I22" t="str">
        <f t="shared" ca="1" si="8"/>
        <v>DHL</v>
      </c>
      <c r="J22" t="s">
        <v>316</v>
      </c>
      <c r="K22">
        <f t="shared" ca="1" si="9"/>
        <v>1798</v>
      </c>
      <c r="L22">
        <f t="shared" ca="1" si="10"/>
        <v>1348.5</v>
      </c>
      <c r="M22">
        <f t="shared" ca="1" si="11"/>
        <v>3435</v>
      </c>
      <c r="N22">
        <f t="shared" ca="1" si="12"/>
        <v>581</v>
      </c>
      <c r="O22">
        <f ca="1">Table2[[#This Row],[Delivery Date]]-Table2[[#This Row],[Order date]]</f>
        <v>9</v>
      </c>
      <c r="P22">
        <f ca="1">MAX(0,Table2[[#This Row],[Delivery Date]]-Table2[[#This Row],[Planned Delivery Date]])</f>
        <v>2</v>
      </c>
      <c r="Q22" t="str">
        <f ca="1">IF(Table2[[#This Row],[Delivery Date]]&lt;=Table2[[#This Row],[Planned Delivery Date]],"On Time","Delayed")</f>
        <v>Delayed</v>
      </c>
      <c r="R22">
        <f ca="1">Table2[[#This Row],[Revenue]]-Table2[[#This Row],[Transport Cost]]</f>
        <v>449.5</v>
      </c>
      <c r="S22" s="4">
        <f t="shared" ca="1" si="0"/>
        <v>0.25</v>
      </c>
    </row>
    <row r="23" spans="1:19" x14ac:dyDescent="0.2">
      <c r="A23" t="s">
        <v>37</v>
      </c>
      <c r="B23" s="1">
        <f t="shared" ca="1" si="1"/>
        <v>46161</v>
      </c>
      <c r="C23" s="1">
        <f t="shared" ca="1" si="2"/>
        <v>46163</v>
      </c>
      <c r="D23" s="1">
        <f t="shared" ca="1" si="3"/>
        <v>46163</v>
      </c>
      <c r="E23" t="str">
        <f t="shared" ca="1" si="4"/>
        <v>Allegro</v>
      </c>
      <c r="F23" t="str">
        <f t="shared" ca="1" si="5"/>
        <v>Italy</v>
      </c>
      <c r="G23" t="str">
        <f t="shared" ca="1" si="6"/>
        <v>Rome</v>
      </c>
      <c r="H23" t="str">
        <f t="shared" ca="1" si="7"/>
        <v>Road</v>
      </c>
      <c r="I23" t="str">
        <f t="shared" ca="1" si="8"/>
        <v>GLS</v>
      </c>
      <c r="J23" t="s">
        <v>316</v>
      </c>
      <c r="K23">
        <f t="shared" ca="1" si="9"/>
        <v>1161</v>
      </c>
      <c r="L23">
        <f t="shared" ca="1" si="10"/>
        <v>766.26</v>
      </c>
      <c r="M23">
        <f t="shared" ca="1" si="11"/>
        <v>3434</v>
      </c>
      <c r="N23">
        <f t="shared" ca="1" si="12"/>
        <v>1893</v>
      </c>
      <c r="O23">
        <f ca="1">Table2[[#This Row],[Delivery Date]]-Table2[[#This Row],[Order date]]</f>
        <v>2</v>
      </c>
      <c r="P23">
        <f ca="1">MAX(0,Table2[[#This Row],[Delivery Date]]-Table2[[#This Row],[Planned Delivery Date]])</f>
        <v>0</v>
      </c>
      <c r="Q23" t="str">
        <f ca="1">IF(Table2[[#This Row],[Delivery Date]]&lt;=Table2[[#This Row],[Planned Delivery Date]],"On Time","Delayed")</f>
        <v>On Time</v>
      </c>
      <c r="R23">
        <f ca="1">Table2[[#This Row],[Revenue]]-Table2[[#This Row],[Transport Cost]]</f>
        <v>394.74</v>
      </c>
      <c r="S23" s="4">
        <f t="shared" ca="1" si="0"/>
        <v>0.34</v>
      </c>
    </row>
    <row r="24" spans="1:19" x14ac:dyDescent="0.2">
      <c r="A24" t="s">
        <v>38</v>
      </c>
      <c r="B24" s="1">
        <f t="shared" ca="1" si="1"/>
        <v>46198</v>
      </c>
      <c r="C24" s="1">
        <f t="shared" ca="1" si="2"/>
        <v>46200</v>
      </c>
      <c r="D24" s="1">
        <f t="shared" ca="1" si="3"/>
        <v>46205</v>
      </c>
      <c r="E24" t="str">
        <f t="shared" ca="1" si="4"/>
        <v>Philips</v>
      </c>
      <c r="F24" t="str">
        <f t="shared" ca="1" si="5"/>
        <v>Italy</v>
      </c>
      <c r="G24" t="str">
        <f t="shared" ca="1" si="6"/>
        <v>Milan</v>
      </c>
      <c r="H24" t="str">
        <f t="shared" ca="1" si="7"/>
        <v>Air</v>
      </c>
      <c r="I24" t="str">
        <f t="shared" ca="1" si="8"/>
        <v>FedEx</v>
      </c>
      <c r="J24" t="s">
        <v>316</v>
      </c>
      <c r="K24">
        <f t="shared" ca="1" si="9"/>
        <v>3347</v>
      </c>
      <c r="L24">
        <f t="shared" ca="1" si="10"/>
        <v>2443.31</v>
      </c>
      <c r="M24">
        <f t="shared" ca="1" si="11"/>
        <v>605</v>
      </c>
      <c r="N24">
        <f t="shared" ca="1" si="12"/>
        <v>1905</v>
      </c>
      <c r="O24">
        <f ca="1">Table2[[#This Row],[Delivery Date]]-Table2[[#This Row],[Order date]]</f>
        <v>7</v>
      </c>
      <c r="P24">
        <f ca="1">MAX(0,Table2[[#This Row],[Delivery Date]]-Table2[[#This Row],[Planned Delivery Date]])</f>
        <v>5</v>
      </c>
      <c r="Q24" t="str">
        <f ca="1">IF(Table2[[#This Row],[Delivery Date]]&lt;=Table2[[#This Row],[Planned Delivery Date]],"On Time","Delayed")</f>
        <v>Delayed</v>
      </c>
      <c r="R24">
        <f ca="1">Table2[[#This Row],[Revenue]]-Table2[[#This Row],[Transport Cost]]</f>
        <v>903.69</v>
      </c>
      <c r="S24" s="4">
        <f t="shared" ca="1" si="0"/>
        <v>0.27</v>
      </c>
    </row>
    <row r="25" spans="1:19" x14ac:dyDescent="0.2">
      <c r="A25" t="s">
        <v>39</v>
      </c>
      <c r="B25" s="1">
        <f t="shared" ca="1" si="1"/>
        <v>46045</v>
      </c>
      <c r="C25" s="1">
        <f t="shared" ca="1" si="2"/>
        <v>46053</v>
      </c>
      <c r="D25" s="1">
        <f t="shared" ca="1" si="3"/>
        <v>46054</v>
      </c>
      <c r="E25" t="str">
        <f t="shared" ca="1" si="4"/>
        <v>Decathlon</v>
      </c>
      <c r="F25" t="str">
        <f t="shared" ca="1" si="5"/>
        <v>Spain</v>
      </c>
      <c r="G25" t="str">
        <f t="shared" ca="1" si="6"/>
        <v>Barcelona</v>
      </c>
      <c r="H25" t="str">
        <f t="shared" ca="1" si="7"/>
        <v>Air</v>
      </c>
      <c r="I25" t="str">
        <f t="shared" ca="1" si="8"/>
        <v>DHL</v>
      </c>
      <c r="J25" t="s">
        <v>316</v>
      </c>
      <c r="K25">
        <f t="shared" ca="1" si="9"/>
        <v>2903</v>
      </c>
      <c r="L25">
        <f t="shared" ca="1" si="10"/>
        <v>1712.77</v>
      </c>
      <c r="M25">
        <f t="shared" ca="1" si="11"/>
        <v>700</v>
      </c>
      <c r="N25">
        <f t="shared" ca="1" si="12"/>
        <v>2197</v>
      </c>
      <c r="O25">
        <f ca="1">Table2[[#This Row],[Delivery Date]]-Table2[[#This Row],[Order date]]</f>
        <v>9</v>
      </c>
      <c r="P25">
        <f ca="1">MAX(0,Table2[[#This Row],[Delivery Date]]-Table2[[#This Row],[Planned Delivery Date]])</f>
        <v>1</v>
      </c>
      <c r="Q25" t="str">
        <f ca="1">IF(Table2[[#This Row],[Delivery Date]]&lt;=Table2[[#This Row],[Planned Delivery Date]],"On Time","Delayed")</f>
        <v>Delayed</v>
      </c>
      <c r="R25">
        <f ca="1">Table2[[#This Row],[Revenue]]-Table2[[#This Row],[Transport Cost]]</f>
        <v>1190.23</v>
      </c>
      <c r="S25" s="4">
        <f t="shared" ca="1" si="0"/>
        <v>0.41000000000000003</v>
      </c>
    </row>
    <row r="26" spans="1:19" x14ac:dyDescent="0.2">
      <c r="A26" t="s">
        <v>40</v>
      </c>
      <c r="B26" s="1">
        <f t="shared" ca="1" si="1"/>
        <v>46030</v>
      </c>
      <c r="C26" s="1">
        <f t="shared" ca="1" si="2"/>
        <v>46036</v>
      </c>
      <c r="D26" s="1">
        <f t="shared" ca="1" si="3"/>
        <v>46037</v>
      </c>
      <c r="E26" t="str">
        <f t="shared" ca="1" si="4"/>
        <v>Allegro</v>
      </c>
      <c r="F26" t="str">
        <f t="shared" ca="1" si="5"/>
        <v>Czech Republic</v>
      </c>
      <c r="G26" t="str">
        <f t="shared" ca="1" si="6"/>
        <v>Prague</v>
      </c>
      <c r="H26" t="str">
        <f t="shared" ca="1" si="7"/>
        <v>Sea</v>
      </c>
      <c r="I26" t="str">
        <f t="shared" ca="1" si="8"/>
        <v>Maersk</v>
      </c>
      <c r="J26" t="s">
        <v>316</v>
      </c>
      <c r="K26">
        <f t="shared" ca="1" si="9"/>
        <v>2666</v>
      </c>
      <c r="L26">
        <f t="shared" ca="1" si="10"/>
        <v>1732.9</v>
      </c>
      <c r="M26">
        <f t="shared" ca="1" si="11"/>
        <v>14378</v>
      </c>
      <c r="N26">
        <f t="shared" ca="1" si="12"/>
        <v>755</v>
      </c>
      <c r="O26">
        <f ca="1">Table2[[#This Row],[Delivery Date]]-Table2[[#This Row],[Order date]]</f>
        <v>7</v>
      </c>
      <c r="P26">
        <f ca="1">MAX(0,Table2[[#This Row],[Delivery Date]]-Table2[[#This Row],[Planned Delivery Date]])</f>
        <v>1</v>
      </c>
      <c r="Q26" t="str">
        <f ca="1">IF(Table2[[#This Row],[Delivery Date]]&lt;=Table2[[#This Row],[Planned Delivery Date]],"On Time","Delayed")</f>
        <v>Delayed</v>
      </c>
      <c r="R26">
        <f ca="1">Table2[[#This Row],[Revenue]]-Table2[[#This Row],[Transport Cost]]</f>
        <v>933.09999999999991</v>
      </c>
      <c r="S26" s="4">
        <f t="shared" ca="1" si="0"/>
        <v>0.35</v>
      </c>
    </row>
    <row r="27" spans="1:19" x14ac:dyDescent="0.2">
      <c r="A27" t="s">
        <v>41</v>
      </c>
      <c r="B27" s="1">
        <f t="shared" ca="1" si="1"/>
        <v>46181</v>
      </c>
      <c r="C27" s="1">
        <f t="shared" ca="1" si="2"/>
        <v>46189</v>
      </c>
      <c r="D27" s="1">
        <f t="shared" ca="1" si="3"/>
        <v>46191</v>
      </c>
      <c r="E27" t="str">
        <f t="shared" ca="1" si="4"/>
        <v>H&amp;M</v>
      </c>
      <c r="F27" t="str">
        <f t="shared" ca="1" si="5"/>
        <v>Germany</v>
      </c>
      <c r="G27" t="str">
        <f t="shared" ca="1" si="6"/>
        <v>Hamburg</v>
      </c>
      <c r="H27" t="str">
        <f t="shared" ca="1" si="7"/>
        <v>Air</v>
      </c>
      <c r="I27" t="str">
        <f t="shared" ca="1" si="8"/>
        <v>DHL</v>
      </c>
      <c r="J27" t="s">
        <v>316</v>
      </c>
      <c r="K27">
        <f t="shared" ca="1" si="9"/>
        <v>4507</v>
      </c>
      <c r="L27">
        <f t="shared" ca="1" si="10"/>
        <v>3290.11</v>
      </c>
      <c r="M27">
        <f t="shared" ca="1" si="11"/>
        <v>767</v>
      </c>
      <c r="N27">
        <f t="shared" ca="1" si="12"/>
        <v>885</v>
      </c>
      <c r="O27">
        <f ca="1">Table2[[#This Row],[Delivery Date]]-Table2[[#This Row],[Order date]]</f>
        <v>10</v>
      </c>
      <c r="P27">
        <f ca="1">MAX(0,Table2[[#This Row],[Delivery Date]]-Table2[[#This Row],[Planned Delivery Date]])</f>
        <v>2</v>
      </c>
      <c r="Q27" t="str">
        <f ca="1">IF(Table2[[#This Row],[Delivery Date]]&lt;=Table2[[#This Row],[Planned Delivery Date]],"On Time","Delayed")</f>
        <v>Delayed</v>
      </c>
      <c r="R27">
        <f ca="1">Table2[[#This Row],[Revenue]]-Table2[[#This Row],[Transport Cost]]</f>
        <v>1216.8899999999999</v>
      </c>
      <c r="S27" s="4">
        <f t="shared" ca="1" si="0"/>
        <v>0.26999999999999996</v>
      </c>
    </row>
    <row r="28" spans="1:19" x14ac:dyDescent="0.2">
      <c r="A28" t="s">
        <v>42</v>
      </c>
      <c r="B28" s="1">
        <f t="shared" ca="1" si="1"/>
        <v>46175</v>
      </c>
      <c r="C28" s="1">
        <f t="shared" ca="1" si="2"/>
        <v>46177</v>
      </c>
      <c r="D28" s="1">
        <f t="shared" ca="1" si="3"/>
        <v>46178</v>
      </c>
      <c r="E28" t="str">
        <f t="shared" ca="1" si="4"/>
        <v>Philips</v>
      </c>
      <c r="F28" t="str">
        <f t="shared" ca="1" si="5"/>
        <v>Spain</v>
      </c>
      <c r="G28" t="str">
        <f t="shared" ca="1" si="6"/>
        <v>Barcelona</v>
      </c>
      <c r="H28" t="str">
        <f t="shared" ca="1" si="7"/>
        <v>Road</v>
      </c>
      <c r="I28" t="str">
        <f t="shared" ca="1" si="8"/>
        <v>GLS</v>
      </c>
      <c r="J28" t="s">
        <v>316</v>
      </c>
      <c r="K28">
        <f t="shared" ca="1" si="9"/>
        <v>809</v>
      </c>
      <c r="L28">
        <f t="shared" ca="1" si="10"/>
        <v>663.38</v>
      </c>
      <c r="M28">
        <f t="shared" ca="1" si="11"/>
        <v>2722</v>
      </c>
      <c r="N28">
        <f t="shared" ca="1" si="12"/>
        <v>2019</v>
      </c>
      <c r="O28">
        <f ca="1">Table2[[#This Row],[Delivery Date]]-Table2[[#This Row],[Order date]]</f>
        <v>3</v>
      </c>
      <c r="P28">
        <f ca="1">MAX(0,Table2[[#This Row],[Delivery Date]]-Table2[[#This Row],[Planned Delivery Date]])</f>
        <v>1</v>
      </c>
      <c r="Q28" t="str">
        <f ca="1">IF(Table2[[#This Row],[Delivery Date]]&lt;=Table2[[#This Row],[Planned Delivery Date]],"On Time","Delayed")</f>
        <v>Delayed</v>
      </c>
      <c r="R28">
        <f ca="1">Table2[[#This Row],[Revenue]]-Table2[[#This Row],[Transport Cost]]</f>
        <v>145.62</v>
      </c>
      <c r="S28" s="4">
        <f t="shared" ca="1" si="0"/>
        <v>0.18</v>
      </c>
    </row>
    <row r="29" spans="1:19" x14ac:dyDescent="0.2">
      <c r="A29" t="s">
        <v>43</v>
      </c>
      <c r="B29" s="1">
        <f t="shared" ca="1" si="1"/>
        <v>46173</v>
      </c>
      <c r="C29" s="1">
        <f t="shared" ca="1" si="2"/>
        <v>46177</v>
      </c>
      <c r="D29" s="1">
        <f t="shared" ca="1" si="3"/>
        <v>46178</v>
      </c>
      <c r="E29" t="str">
        <f t="shared" ca="1" si="4"/>
        <v>Samsung</v>
      </c>
      <c r="F29" t="str">
        <f t="shared" ca="1" si="5"/>
        <v>Spain</v>
      </c>
      <c r="G29" t="str">
        <f t="shared" ca="1" si="6"/>
        <v>Barcelona</v>
      </c>
      <c r="H29" t="str">
        <f t="shared" ca="1" si="7"/>
        <v>Rail</v>
      </c>
      <c r="I29" t="str">
        <f t="shared" ca="1" si="8"/>
        <v>DB Schenker</v>
      </c>
      <c r="J29" t="s">
        <v>316</v>
      </c>
      <c r="K29">
        <f t="shared" ca="1" si="9"/>
        <v>1608</v>
      </c>
      <c r="L29">
        <f t="shared" ca="1" si="10"/>
        <v>1302.48</v>
      </c>
      <c r="M29">
        <f t="shared" ca="1" si="11"/>
        <v>5316</v>
      </c>
      <c r="N29">
        <f t="shared" ca="1" si="12"/>
        <v>2150</v>
      </c>
      <c r="O29">
        <f ca="1">Table2[[#This Row],[Delivery Date]]-Table2[[#This Row],[Order date]]</f>
        <v>5</v>
      </c>
      <c r="P29">
        <f ca="1">MAX(0,Table2[[#This Row],[Delivery Date]]-Table2[[#This Row],[Planned Delivery Date]])</f>
        <v>1</v>
      </c>
      <c r="Q29" t="str">
        <f ca="1">IF(Table2[[#This Row],[Delivery Date]]&lt;=Table2[[#This Row],[Planned Delivery Date]],"On Time","Delayed")</f>
        <v>Delayed</v>
      </c>
      <c r="R29">
        <f ca="1">Table2[[#This Row],[Revenue]]-Table2[[#This Row],[Transport Cost]]</f>
        <v>305.52</v>
      </c>
      <c r="S29" s="4">
        <f t="shared" ca="1" si="0"/>
        <v>0.19</v>
      </c>
    </row>
    <row r="30" spans="1:19" x14ac:dyDescent="0.2">
      <c r="A30" t="s">
        <v>44</v>
      </c>
      <c r="B30" s="1">
        <f t="shared" ca="1" si="1"/>
        <v>46052</v>
      </c>
      <c r="C30" s="1">
        <f t="shared" ca="1" si="2"/>
        <v>46055</v>
      </c>
      <c r="D30" s="1">
        <f t="shared" ca="1" si="3"/>
        <v>46059</v>
      </c>
      <c r="E30" t="str">
        <f t="shared" ca="1" si="4"/>
        <v>Bosch</v>
      </c>
      <c r="F30" t="str">
        <f t="shared" ca="1" si="5"/>
        <v>France</v>
      </c>
      <c r="G30" t="str">
        <f t="shared" ca="1" si="6"/>
        <v>Lyon</v>
      </c>
      <c r="H30" t="str">
        <f t="shared" ca="1" si="7"/>
        <v>Road</v>
      </c>
      <c r="I30" t="str">
        <f t="shared" ca="1" si="8"/>
        <v>GLS</v>
      </c>
      <c r="J30" t="s">
        <v>316</v>
      </c>
      <c r="K30">
        <f t="shared" ca="1" si="9"/>
        <v>635</v>
      </c>
      <c r="L30">
        <f t="shared" ca="1" si="10"/>
        <v>406.4</v>
      </c>
      <c r="M30">
        <f t="shared" ca="1" si="11"/>
        <v>4886</v>
      </c>
      <c r="N30">
        <f t="shared" ca="1" si="12"/>
        <v>1476</v>
      </c>
      <c r="O30">
        <f ca="1">Table2[[#This Row],[Delivery Date]]-Table2[[#This Row],[Order date]]</f>
        <v>7</v>
      </c>
      <c r="P30">
        <f ca="1">MAX(0,Table2[[#This Row],[Delivery Date]]-Table2[[#This Row],[Planned Delivery Date]])</f>
        <v>4</v>
      </c>
      <c r="Q30" t="str">
        <f ca="1">IF(Table2[[#This Row],[Delivery Date]]&lt;=Table2[[#This Row],[Planned Delivery Date]],"On Time","Delayed")</f>
        <v>Delayed</v>
      </c>
      <c r="R30">
        <f ca="1">Table2[[#This Row],[Revenue]]-Table2[[#This Row],[Transport Cost]]</f>
        <v>228.60000000000002</v>
      </c>
      <c r="S30" s="4">
        <f t="shared" ca="1" si="0"/>
        <v>0.36000000000000004</v>
      </c>
    </row>
    <row r="31" spans="1:19" x14ac:dyDescent="0.2">
      <c r="A31" t="s">
        <v>45</v>
      </c>
      <c r="B31" s="1">
        <f t="shared" ca="1" si="1"/>
        <v>46060</v>
      </c>
      <c r="C31" s="1">
        <f t="shared" ca="1" si="2"/>
        <v>46070</v>
      </c>
      <c r="D31" s="1">
        <f t="shared" ca="1" si="3"/>
        <v>46069</v>
      </c>
      <c r="E31" t="str">
        <f t="shared" ca="1" si="4"/>
        <v>Zara</v>
      </c>
      <c r="F31" t="str">
        <f t="shared" ca="1" si="5"/>
        <v>Germany</v>
      </c>
      <c r="G31" t="str">
        <f t="shared" ca="1" si="6"/>
        <v>Hamburg</v>
      </c>
      <c r="H31" t="str">
        <f t="shared" ca="1" si="7"/>
        <v>Sea</v>
      </c>
      <c r="I31" t="str">
        <f t="shared" ca="1" si="8"/>
        <v>Maersk</v>
      </c>
      <c r="J31" t="s">
        <v>316</v>
      </c>
      <c r="K31">
        <f t="shared" ca="1" si="9"/>
        <v>3483</v>
      </c>
      <c r="L31">
        <f t="shared" ca="1" si="10"/>
        <v>2472.9299999999998</v>
      </c>
      <c r="M31">
        <f t="shared" ca="1" si="11"/>
        <v>6501</v>
      </c>
      <c r="N31">
        <f t="shared" ca="1" si="12"/>
        <v>598</v>
      </c>
      <c r="O31">
        <f ca="1">Table2[[#This Row],[Delivery Date]]-Table2[[#This Row],[Order date]]</f>
        <v>9</v>
      </c>
      <c r="P31">
        <f ca="1">MAX(0,Table2[[#This Row],[Delivery Date]]-Table2[[#This Row],[Planned Delivery Date]])</f>
        <v>0</v>
      </c>
      <c r="Q31" t="str">
        <f ca="1">IF(Table2[[#This Row],[Delivery Date]]&lt;=Table2[[#This Row],[Planned Delivery Date]],"On Time","Delayed")</f>
        <v>On Time</v>
      </c>
      <c r="R31">
        <f ca="1">Table2[[#This Row],[Revenue]]-Table2[[#This Row],[Transport Cost]]</f>
        <v>1010.0700000000002</v>
      </c>
      <c r="S31" s="4">
        <f t="shared" ca="1" si="0"/>
        <v>0.29000000000000004</v>
      </c>
    </row>
    <row r="32" spans="1:19" x14ac:dyDescent="0.2">
      <c r="A32" t="s">
        <v>46</v>
      </c>
      <c r="B32" s="1">
        <f t="shared" ca="1" si="1"/>
        <v>46128</v>
      </c>
      <c r="C32" s="1">
        <f t="shared" ca="1" si="2"/>
        <v>46136</v>
      </c>
      <c r="D32" s="1">
        <f t="shared" ca="1" si="3"/>
        <v>46140</v>
      </c>
      <c r="E32" t="str">
        <f t="shared" ca="1" si="4"/>
        <v>Bosch</v>
      </c>
      <c r="F32" t="str">
        <f t="shared" ca="1" si="5"/>
        <v>France</v>
      </c>
      <c r="G32" t="str">
        <f t="shared" ca="1" si="6"/>
        <v>Paris</v>
      </c>
      <c r="H32" t="str">
        <f t="shared" ca="1" si="7"/>
        <v>Air</v>
      </c>
      <c r="I32" t="str">
        <f t="shared" ca="1" si="8"/>
        <v>FedEx</v>
      </c>
      <c r="J32" t="s">
        <v>316</v>
      </c>
      <c r="K32">
        <f t="shared" ca="1" si="9"/>
        <v>2532</v>
      </c>
      <c r="L32">
        <f t="shared" ca="1" si="10"/>
        <v>1620.48</v>
      </c>
      <c r="M32">
        <f t="shared" ca="1" si="11"/>
        <v>687</v>
      </c>
      <c r="N32">
        <f t="shared" ca="1" si="12"/>
        <v>1427</v>
      </c>
      <c r="O32">
        <f ca="1">Table2[[#This Row],[Delivery Date]]-Table2[[#This Row],[Order date]]</f>
        <v>12</v>
      </c>
      <c r="P32">
        <f ca="1">MAX(0,Table2[[#This Row],[Delivery Date]]-Table2[[#This Row],[Planned Delivery Date]])</f>
        <v>4</v>
      </c>
      <c r="Q32" t="str">
        <f ca="1">IF(Table2[[#This Row],[Delivery Date]]&lt;=Table2[[#This Row],[Planned Delivery Date]],"On Time","Delayed")</f>
        <v>Delayed</v>
      </c>
      <c r="R32">
        <f ca="1">Table2[[#This Row],[Revenue]]-Table2[[#This Row],[Transport Cost]]</f>
        <v>911.52</v>
      </c>
      <c r="S32" s="4">
        <f t="shared" ca="1" si="0"/>
        <v>0.36</v>
      </c>
    </row>
    <row r="33" spans="1:19" x14ac:dyDescent="0.2">
      <c r="A33" t="s">
        <v>47</v>
      </c>
      <c r="B33" s="1">
        <f t="shared" ca="1" si="1"/>
        <v>46049</v>
      </c>
      <c r="C33" s="1">
        <f t="shared" ca="1" si="2"/>
        <v>46058</v>
      </c>
      <c r="D33" s="1">
        <f t="shared" ca="1" si="3"/>
        <v>46062</v>
      </c>
      <c r="E33" t="str">
        <f t="shared" ca="1" si="4"/>
        <v>Samsung</v>
      </c>
      <c r="F33" t="str">
        <f t="shared" ca="1" si="5"/>
        <v>Poland</v>
      </c>
      <c r="G33" t="str">
        <f t="shared" ca="1" si="6"/>
        <v>Gdansk</v>
      </c>
      <c r="H33" t="str">
        <f t="shared" ca="1" si="7"/>
        <v>Air</v>
      </c>
      <c r="I33" t="str">
        <f t="shared" ca="1" si="8"/>
        <v>FedEx</v>
      </c>
      <c r="J33" t="s">
        <v>316</v>
      </c>
      <c r="K33">
        <f t="shared" ca="1" si="9"/>
        <v>2468</v>
      </c>
      <c r="L33">
        <f t="shared" ca="1" si="10"/>
        <v>1999.08</v>
      </c>
      <c r="M33">
        <f t="shared" ca="1" si="11"/>
        <v>69</v>
      </c>
      <c r="N33">
        <f t="shared" ca="1" si="12"/>
        <v>322</v>
      </c>
      <c r="O33">
        <f ca="1">Table2[[#This Row],[Delivery Date]]-Table2[[#This Row],[Order date]]</f>
        <v>13</v>
      </c>
      <c r="P33">
        <f ca="1">MAX(0,Table2[[#This Row],[Delivery Date]]-Table2[[#This Row],[Planned Delivery Date]])</f>
        <v>4</v>
      </c>
      <c r="Q33" t="str">
        <f ca="1">IF(Table2[[#This Row],[Delivery Date]]&lt;=Table2[[#This Row],[Planned Delivery Date]],"On Time","Delayed")</f>
        <v>Delayed</v>
      </c>
      <c r="R33">
        <f ca="1">Table2[[#This Row],[Revenue]]-Table2[[#This Row],[Transport Cost]]</f>
        <v>468.92000000000007</v>
      </c>
      <c r="S33" s="4">
        <f t="shared" ca="1" si="0"/>
        <v>0.19000000000000003</v>
      </c>
    </row>
    <row r="34" spans="1:19" x14ac:dyDescent="0.2">
      <c r="A34" t="s">
        <v>48</v>
      </c>
      <c r="B34" s="1">
        <f t="shared" ca="1" si="1"/>
        <v>46105</v>
      </c>
      <c r="C34" s="1">
        <f t="shared" ca="1" si="2"/>
        <v>46108</v>
      </c>
      <c r="D34" s="1">
        <f t="shared" ca="1" si="3"/>
        <v>46107</v>
      </c>
      <c r="E34" t="str">
        <f t="shared" ca="1" si="4"/>
        <v>Bosch</v>
      </c>
      <c r="F34" t="str">
        <f t="shared" ca="1" si="5"/>
        <v>Czech Republic</v>
      </c>
      <c r="G34" t="str">
        <f t="shared" ca="1" si="6"/>
        <v>Prague</v>
      </c>
      <c r="H34" t="str">
        <f t="shared" ca="1" si="7"/>
        <v>Rail</v>
      </c>
      <c r="I34" t="str">
        <f t="shared" ca="1" si="8"/>
        <v>Kuehne+Nagel</v>
      </c>
      <c r="J34" t="s">
        <v>316</v>
      </c>
      <c r="K34">
        <f t="shared" ca="1" si="9"/>
        <v>1638</v>
      </c>
      <c r="L34">
        <f t="shared" ca="1" si="10"/>
        <v>1277.6400000000001</v>
      </c>
      <c r="M34">
        <f t="shared" ca="1" si="11"/>
        <v>4969</v>
      </c>
      <c r="N34">
        <f t="shared" ca="1" si="12"/>
        <v>804</v>
      </c>
      <c r="O34">
        <f ca="1">Table2[[#This Row],[Delivery Date]]-Table2[[#This Row],[Order date]]</f>
        <v>2</v>
      </c>
      <c r="P34">
        <f ca="1">MAX(0,Table2[[#This Row],[Delivery Date]]-Table2[[#This Row],[Planned Delivery Date]])</f>
        <v>0</v>
      </c>
      <c r="Q34" t="str">
        <f ca="1">IF(Table2[[#This Row],[Delivery Date]]&lt;=Table2[[#This Row],[Planned Delivery Date]],"On Time","Delayed")</f>
        <v>On Time</v>
      </c>
      <c r="R34">
        <f ca="1">Table2[[#This Row],[Revenue]]-Table2[[#This Row],[Transport Cost]]</f>
        <v>360.3599999999999</v>
      </c>
      <c r="S34" s="4">
        <f t="shared" ca="1" si="0"/>
        <v>0.21999999999999995</v>
      </c>
    </row>
    <row r="35" spans="1:19" x14ac:dyDescent="0.2">
      <c r="A35" t="s">
        <v>49</v>
      </c>
      <c r="B35" s="1">
        <f t="shared" ca="1" si="1"/>
        <v>46185</v>
      </c>
      <c r="C35" s="1">
        <f t="shared" ca="1" si="2"/>
        <v>46192</v>
      </c>
      <c r="D35" s="1">
        <f t="shared" ca="1" si="3"/>
        <v>46196</v>
      </c>
      <c r="E35" t="str">
        <f t="shared" ca="1" si="4"/>
        <v>Decathlon</v>
      </c>
      <c r="F35" t="str">
        <f t="shared" ca="1" si="5"/>
        <v>Germany</v>
      </c>
      <c r="G35" t="str">
        <f t="shared" ca="1" si="6"/>
        <v>Munich</v>
      </c>
      <c r="H35" t="str">
        <f t="shared" ca="1" si="7"/>
        <v>Road</v>
      </c>
      <c r="I35" t="str">
        <f t="shared" ca="1" si="8"/>
        <v>UPS</v>
      </c>
      <c r="J35" t="s">
        <v>316</v>
      </c>
      <c r="K35">
        <f t="shared" ca="1" si="9"/>
        <v>2303</v>
      </c>
      <c r="L35">
        <f t="shared" ca="1" si="10"/>
        <v>1543.01</v>
      </c>
      <c r="M35">
        <f t="shared" ca="1" si="11"/>
        <v>2334</v>
      </c>
      <c r="N35">
        <f t="shared" ca="1" si="12"/>
        <v>706</v>
      </c>
      <c r="O35">
        <f ca="1">Table2[[#This Row],[Delivery Date]]-Table2[[#This Row],[Order date]]</f>
        <v>11</v>
      </c>
      <c r="P35">
        <f ca="1">MAX(0,Table2[[#This Row],[Delivery Date]]-Table2[[#This Row],[Planned Delivery Date]])</f>
        <v>4</v>
      </c>
      <c r="Q35" t="str">
        <f ca="1">IF(Table2[[#This Row],[Delivery Date]]&lt;=Table2[[#This Row],[Planned Delivery Date]],"On Time","Delayed")</f>
        <v>Delayed</v>
      </c>
      <c r="R35">
        <f ca="1">Table2[[#This Row],[Revenue]]-Table2[[#This Row],[Transport Cost]]</f>
        <v>759.99</v>
      </c>
      <c r="S35" s="4">
        <f t="shared" ca="1" si="0"/>
        <v>0.33</v>
      </c>
    </row>
    <row r="36" spans="1:19" x14ac:dyDescent="0.2">
      <c r="A36" t="s">
        <v>50</v>
      </c>
      <c r="B36" s="1">
        <f t="shared" ca="1" si="1"/>
        <v>46095</v>
      </c>
      <c r="C36" s="1">
        <f t="shared" ca="1" si="2"/>
        <v>46102</v>
      </c>
      <c r="D36" s="1">
        <f t="shared" ca="1" si="3"/>
        <v>46104</v>
      </c>
      <c r="E36" t="str">
        <f t="shared" ca="1" si="4"/>
        <v>Samsung</v>
      </c>
      <c r="F36" t="str">
        <f t="shared" ca="1" si="5"/>
        <v>Poland</v>
      </c>
      <c r="G36" t="str">
        <f t="shared" ca="1" si="6"/>
        <v>Gdansk</v>
      </c>
      <c r="H36" t="str">
        <f t="shared" ca="1" si="7"/>
        <v>Road</v>
      </c>
      <c r="I36" t="str">
        <f t="shared" ca="1" si="8"/>
        <v>DB Schenker</v>
      </c>
      <c r="J36" t="s">
        <v>316</v>
      </c>
      <c r="K36">
        <f t="shared" ca="1" si="9"/>
        <v>2399</v>
      </c>
      <c r="L36">
        <f t="shared" ca="1" si="10"/>
        <v>1823.24</v>
      </c>
      <c r="M36">
        <f t="shared" ca="1" si="11"/>
        <v>1281</v>
      </c>
      <c r="N36">
        <f t="shared" ca="1" si="12"/>
        <v>120</v>
      </c>
      <c r="O36">
        <f ca="1">Table2[[#This Row],[Delivery Date]]-Table2[[#This Row],[Order date]]</f>
        <v>9</v>
      </c>
      <c r="P36">
        <f ca="1">MAX(0,Table2[[#This Row],[Delivery Date]]-Table2[[#This Row],[Planned Delivery Date]])</f>
        <v>2</v>
      </c>
      <c r="Q36" t="str">
        <f ca="1">IF(Table2[[#This Row],[Delivery Date]]&lt;=Table2[[#This Row],[Planned Delivery Date]],"On Time","Delayed")</f>
        <v>Delayed</v>
      </c>
      <c r="R36">
        <f ca="1">Table2[[#This Row],[Revenue]]-Table2[[#This Row],[Transport Cost]]</f>
        <v>575.76</v>
      </c>
      <c r="S36" s="4">
        <f t="shared" ca="1" si="0"/>
        <v>0.24</v>
      </c>
    </row>
    <row r="37" spans="1:19" x14ac:dyDescent="0.2">
      <c r="A37" t="s">
        <v>51</v>
      </c>
      <c r="B37" s="1">
        <f t="shared" ca="1" si="1"/>
        <v>46049</v>
      </c>
      <c r="C37" s="1">
        <f t="shared" ca="1" si="2"/>
        <v>46055</v>
      </c>
      <c r="D37" s="1">
        <f t="shared" ca="1" si="3"/>
        <v>46059</v>
      </c>
      <c r="E37" t="str">
        <f t="shared" ca="1" si="4"/>
        <v>Decathlon</v>
      </c>
      <c r="F37" t="str">
        <f t="shared" ca="1" si="5"/>
        <v>Spain</v>
      </c>
      <c r="G37" t="str">
        <f t="shared" ca="1" si="6"/>
        <v>Madrid</v>
      </c>
      <c r="H37" t="str">
        <f t="shared" ca="1" si="7"/>
        <v>Road</v>
      </c>
      <c r="I37" t="str">
        <f t="shared" ca="1" si="8"/>
        <v>DB Schenker</v>
      </c>
      <c r="J37" t="s">
        <v>316</v>
      </c>
      <c r="K37">
        <f t="shared" ca="1" si="9"/>
        <v>2119</v>
      </c>
      <c r="L37">
        <f t="shared" ca="1" si="10"/>
        <v>1207.83</v>
      </c>
      <c r="M37">
        <f t="shared" ca="1" si="11"/>
        <v>4689</v>
      </c>
      <c r="N37">
        <f t="shared" ca="1" si="12"/>
        <v>2365</v>
      </c>
      <c r="O37">
        <f ca="1">Table2[[#This Row],[Delivery Date]]-Table2[[#This Row],[Order date]]</f>
        <v>10</v>
      </c>
      <c r="P37">
        <f ca="1">MAX(0,Table2[[#This Row],[Delivery Date]]-Table2[[#This Row],[Planned Delivery Date]])</f>
        <v>4</v>
      </c>
      <c r="Q37" t="str">
        <f ca="1">IF(Table2[[#This Row],[Delivery Date]]&lt;=Table2[[#This Row],[Planned Delivery Date]],"On Time","Delayed")</f>
        <v>Delayed</v>
      </c>
      <c r="R37">
        <f ca="1">Table2[[#This Row],[Revenue]]-Table2[[#This Row],[Transport Cost]]</f>
        <v>911.17000000000007</v>
      </c>
      <c r="S37" s="4">
        <f t="shared" ca="1" si="0"/>
        <v>0.43000000000000005</v>
      </c>
    </row>
    <row r="38" spans="1:19" x14ac:dyDescent="0.2">
      <c r="A38" t="s">
        <v>52</v>
      </c>
      <c r="B38" s="1">
        <f t="shared" ca="1" si="1"/>
        <v>46091</v>
      </c>
      <c r="C38" s="1">
        <f t="shared" ca="1" si="2"/>
        <v>46095</v>
      </c>
      <c r="D38" s="1">
        <f t="shared" ca="1" si="3"/>
        <v>46098</v>
      </c>
      <c r="E38" t="str">
        <f t="shared" ca="1" si="4"/>
        <v>IKEA</v>
      </c>
      <c r="F38" t="str">
        <f t="shared" ca="1" si="5"/>
        <v>Poland</v>
      </c>
      <c r="G38" t="str">
        <f t="shared" ca="1" si="6"/>
        <v>Gdansk</v>
      </c>
      <c r="H38" t="str">
        <f t="shared" ca="1" si="7"/>
        <v>Sea</v>
      </c>
      <c r="I38" t="str">
        <f t="shared" ca="1" si="8"/>
        <v>Maersk</v>
      </c>
      <c r="J38" t="s">
        <v>316</v>
      </c>
      <c r="K38">
        <f t="shared" ca="1" si="9"/>
        <v>3554</v>
      </c>
      <c r="L38">
        <f t="shared" ca="1" si="10"/>
        <v>2772.12</v>
      </c>
      <c r="M38">
        <f t="shared" ca="1" si="11"/>
        <v>13204</v>
      </c>
      <c r="N38">
        <f t="shared" ca="1" si="12"/>
        <v>118</v>
      </c>
      <c r="O38">
        <f ca="1">Table2[[#This Row],[Delivery Date]]-Table2[[#This Row],[Order date]]</f>
        <v>7</v>
      </c>
      <c r="P38">
        <f ca="1">MAX(0,Table2[[#This Row],[Delivery Date]]-Table2[[#This Row],[Planned Delivery Date]])</f>
        <v>3</v>
      </c>
      <c r="Q38" t="str">
        <f ca="1">IF(Table2[[#This Row],[Delivery Date]]&lt;=Table2[[#This Row],[Planned Delivery Date]],"On Time","Delayed")</f>
        <v>Delayed</v>
      </c>
      <c r="R38">
        <f ca="1">Table2[[#This Row],[Revenue]]-Table2[[#This Row],[Transport Cost]]</f>
        <v>781.88000000000011</v>
      </c>
      <c r="S38" s="4">
        <f t="shared" ca="1" si="0"/>
        <v>0.22000000000000003</v>
      </c>
    </row>
    <row r="39" spans="1:19" x14ac:dyDescent="0.2">
      <c r="A39" t="s">
        <v>53</v>
      </c>
      <c r="B39" s="1">
        <f t="shared" ca="1" si="1"/>
        <v>46092</v>
      </c>
      <c r="C39" s="1">
        <f t="shared" ca="1" si="2"/>
        <v>46099</v>
      </c>
      <c r="D39" s="1">
        <f t="shared" ca="1" si="3"/>
        <v>46100</v>
      </c>
      <c r="E39" t="str">
        <f t="shared" ca="1" si="4"/>
        <v>Philips</v>
      </c>
      <c r="F39" t="str">
        <f t="shared" ca="1" si="5"/>
        <v>Spain</v>
      </c>
      <c r="G39" t="str">
        <f t="shared" ca="1" si="6"/>
        <v>Barcelona</v>
      </c>
      <c r="H39" t="str">
        <f t="shared" ca="1" si="7"/>
        <v>Road</v>
      </c>
      <c r="I39" t="str">
        <f t="shared" ca="1" si="8"/>
        <v>DB Schenker</v>
      </c>
      <c r="J39" t="s">
        <v>316</v>
      </c>
      <c r="K39">
        <f t="shared" ca="1" si="9"/>
        <v>762</v>
      </c>
      <c r="L39">
        <f t="shared" ca="1" si="10"/>
        <v>457.2</v>
      </c>
      <c r="M39">
        <f t="shared" ca="1" si="11"/>
        <v>4253</v>
      </c>
      <c r="N39">
        <f t="shared" ca="1" si="12"/>
        <v>2516</v>
      </c>
      <c r="O39">
        <f ca="1">Table2[[#This Row],[Delivery Date]]-Table2[[#This Row],[Order date]]</f>
        <v>8</v>
      </c>
      <c r="P39">
        <f ca="1">MAX(0,Table2[[#This Row],[Delivery Date]]-Table2[[#This Row],[Planned Delivery Date]])</f>
        <v>1</v>
      </c>
      <c r="Q39" t="str">
        <f ca="1">IF(Table2[[#This Row],[Delivery Date]]&lt;=Table2[[#This Row],[Planned Delivery Date]],"On Time","Delayed")</f>
        <v>Delayed</v>
      </c>
      <c r="R39">
        <f ca="1">Table2[[#This Row],[Revenue]]-Table2[[#This Row],[Transport Cost]]</f>
        <v>304.8</v>
      </c>
      <c r="S39" s="4">
        <f t="shared" ca="1" si="0"/>
        <v>0.4</v>
      </c>
    </row>
    <row r="40" spans="1:19" x14ac:dyDescent="0.2">
      <c r="A40" t="s">
        <v>54</v>
      </c>
      <c r="B40" s="1">
        <f t="shared" ca="1" si="1"/>
        <v>46047</v>
      </c>
      <c r="C40" s="1">
        <f t="shared" ca="1" si="2"/>
        <v>46051</v>
      </c>
      <c r="D40" s="1">
        <f t="shared" ca="1" si="3"/>
        <v>46056</v>
      </c>
      <c r="E40" t="str">
        <f t="shared" ca="1" si="4"/>
        <v>H&amp;M</v>
      </c>
      <c r="F40" t="str">
        <f t="shared" ca="1" si="5"/>
        <v>Germany</v>
      </c>
      <c r="G40" t="str">
        <f t="shared" ca="1" si="6"/>
        <v>Hamburg</v>
      </c>
      <c r="H40" t="str">
        <f t="shared" ca="1" si="7"/>
        <v>Sea</v>
      </c>
      <c r="I40" t="str">
        <f t="shared" ca="1" si="8"/>
        <v>Maersk</v>
      </c>
      <c r="J40" t="s">
        <v>316</v>
      </c>
      <c r="K40">
        <f t="shared" ca="1" si="9"/>
        <v>4128</v>
      </c>
      <c r="L40">
        <f t="shared" ca="1" si="10"/>
        <v>3384.96</v>
      </c>
      <c r="M40">
        <f t="shared" ca="1" si="11"/>
        <v>13773</v>
      </c>
      <c r="N40">
        <f t="shared" ca="1" si="12"/>
        <v>884</v>
      </c>
      <c r="O40">
        <f ca="1">Table2[[#This Row],[Delivery Date]]-Table2[[#This Row],[Order date]]</f>
        <v>9</v>
      </c>
      <c r="P40">
        <f ca="1">MAX(0,Table2[[#This Row],[Delivery Date]]-Table2[[#This Row],[Planned Delivery Date]])</f>
        <v>5</v>
      </c>
      <c r="Q40" t="str">
        <f ca="1">IF(Table2[[#This Row],[Delivery Date]]&lt;=Table2[[#This Row],[Planned Delivery Date]],"On Time","Delayed")</f>
        <v>Delayed</v>
      </c>
      <c r="R40">
        <f ca="1">Table2[[#This Row],[Revenue]]-Table2[[#This Row],[Transport Cost]]</f>
        <v>743.04</v>
      </c>
      <c r="S40" s="4">
        <f t="shared" ca="1" si="0"/>
        <v>0.18</v>
      </c>
    </row>
    <row r="41" spans="1:19" x14ac:dyDescent="0.2">
      <c r="A41" t="s">
        <v>55</v>
      </c>
      <c r="B41" s="1">
        <f t="shared" ca="1" si="1"/>
        <v>46028</v>
      </c>
      <c r="C41" s="1">
        <f t="shared" ca="1" si="2"/>
        <v>46034</v>
      </c>
      <c r="D41" s="1">
        <f t="shared" ca="1" si="3"/>
        <v>46035</v>
      </c>
      <c r="E41" t="str">
        <f t="shared" ca="1" si="4"/>
        <v>Allegro</v>
      </c>
      <c r="F41" t="str">
        <f t="shared" ca="1" si="5"/>
        <v>Czech Republic</v>
      </c>
      <c r="G41" t="str">
        <f t="shared" ca="1" si="6"/>
        <v>Prague</v>
      </c>
      <c r="H41" t="str">
        <f t="shared" ca="1" si="7"/>
        <v>Sea</v>
      </c>
      <c r="I41" t="str">
        <f t="shared" ca="1" si="8"/>
        <v>Maersk</v>
      </c>
      <c r="J41" t="s">
        <v>316</v>
      </c>
      <c r="K41">
        <f t="shared" ca="1" si="9"/>
        <v>2845</v>
      </c>
      <c r="L41">
        <f t="shared" ca="1" si="10"/>
        <v>2304.4499999999998</v>
      </c>
      <c r="M41">
        <f t="shared" ca="1" si="11"/>
        <v>6403</v>
      </c>
      <c r="N41">
        <f t="shared" ca="1" si="12"/>
        <v>565</v>
      </c>
      <c r="O41">
        <f ca="1">Table2[[#This Row],[Delivery Date]]-Table2[[#This Row],[Order date]]</f>
        <v>7</v>
      </c>
      <c r="P41">
        <f ca="1">MAX(0,Table2[[#This Row],[Delivery Date]]-Table2[[#This Row],[Planned Delivery Date]])</f>
        <v>1</v>
      </c>
      <c r="Q41" t="str">
        <f ca="1">IF(Table2[[#This Row],[Delivery Date]]&lt;=Table2[[#This Row],[Planned Delivery Date]],"On Time","Delayed")</f>
        <v>Delayed</v>
      </c>
      <c r="R41">
        <f ca="1">Table2[[#This Row],[Revenue]]-Table2[[#This Row],[Transport Cost]]</f>
        <v>540.55000000000018</v>
      </c>
      <c r="S41" s="4">
        <f t="shared" ca="1" si="0"/>
        <v>0.19000000000000006</v>
      </c>
    </row>
    <row r="42" spans="1:19" x14ac:dyDescent="0.2">
      <c r="A42" t="s">
        <v>56</v>
      </c>
      <c r="B42" s="1">
        <f t="shared" ca="1" si="1"/>
        <v>46199</v>
      </c>
      <c r="C42" s="1">
        <f t="shared" ca="1" si="2"/>
        <v>46202</v>
      </c>
      <c r="D42" s="1">
        <f t="shared" ca="1" si="3"/>
        <v>46205</v>
      </c>
      <c r="E42" t="str">
        <f t="shared" ca="1" si="4"/>
        <v>IKEA</v>
      </c>
      <c r="F42" t="str">
        <f t="shared" ca="1" si="5"/>
        <v>Germany</v>
      </c>
      <c r="G42" t="str">
        <f t="shared" ca="1" si="6"/>
        <v>Hamburg</v>
      </c>
      <c r="H42" t="str">
        <f t="shared" ca="1" si="7"/>
        <v>Rail</v>
      </c>
      <c r="I42" t="str">
        <f t="shared" ca="1" si="8"/>
        <v>DB Schenker</v>
      </c>
      <c r="J42" t="s">
        <v>316</v>
      </c>
      <c r="K42">
        <f t="shared" ca="1" si="9"/>
        <v>1349</v>
      </c>
      <c r="L42">
        <f t="shared" ca="1" si="10"/>
        <v>944.3</v>
      </c>
      <c r="M42">
        <f t="shared" ca="1" si="11"/>
        <v>5477</v>
      </c>
      <c r="N42">
        <f t="shared" ca="1" si="12"/>
        <v>871</v>
      </c>
      <c r="O42">
        <f ca="1">Table2[[#This Row],[Delivery Date]]-Table2[[#This Row],[Order date]]</f>
        <v>6</v>
      </c>
      <c r="P42">
        <f ca="1">MAX(0,Table2[[#This Row],[Delivery Date]]-Table2[[#This Row],[Planned Delivery Date]])</f>
        <v>3</v>
      </c>
      <c r="Q42" t="str">
        <f ca="1">IF(Table2[[#This Row],[Delivery Date]]&lt;=Table2[[#This Row],[Planned Delivery Date]],"On Time","Delayed")</f>
        <v>Delayed</v>
      </c>
      <c r="R42">
        <f ca="1">Table2[[#This Row],[Revenue]]-Table2[[#This Row],[Transport Cost]]</f>
        <v>404.70000000000005</v>
      </c>
      <c r="S42" s="4">
        <f t="shared" ca="1" si="0"/>
        <v>0.30000000000000004</v>
      </c>
    </row>
    <row r="43" spans="1:19" x14ac:dyDescent="0.2">
      <c r="A43" t="s">
        <v>57</v>
      </c>
      <c r="B43" s="1">
        <f t="shared" ca="1" si="1"/>
        <v>46171</v>
      </c>
      <c r="C43" s="1">
        <f t="shared" ca="1" si="2"/>
        <v>46179</v>
      </c>
      <c r="D43" s="1">
        <f t="shared" ca="1" si="3"/>
        <v>46181</v>
      </c>
      <c r="E43" t="str">
        <f t="shared" ca="1" si="4"/>
        <v>Allegro</v>
      </c>
      <c r="F43" t="str">
        <f t="shared" ca="1" si="5"/>
        <v>Poland</v>
      </c>
      <c r="G43" t="str">
        <f t="shared" ca="1" si="6"/>
        <v>Warsaw</v>
      </c>
      <c r="H43" t="str">
        <f t="shared" ca="1" si="7"/>
        <v>Sea</v>
      </c>
      <c r="I43" t="str">
        <f t="shared" ca="1" si="8"/>
        <v>Maersk</v>
      </c>
      <c r="J43" t="s">
        <v>316</v>
      </c>
      <c r="K43">
        <f t="shared" ca="1" si="9"/>
        <v>2377</v>
      </c>
      <c r="L43">
        <f t="shared" ca="1" si="10"/>
        <v>1687.67</v>
      </c>
      <c r="M43">
        <f t="shared" ca="1" si="11"/>
        <v>8564</v>
      </c>
      <c r="N43">
        <f t="shared" ca="1" si="12"/>
        <v>130</v>
      </c>
      <c r="O43">
        <f ca="1">Table2[[#This Row],[Delivery Date]]-Table2[[#This Row],[Order date]]</f>
        <v>10</v>
      </c>
      <c r="P43">
        <f ca="1">MAX(0,Table2[[#This Row],[Delivery Date]]-Table2[[#This Row],[Planned Delivery Date]])</f>
        <v>2</v>
      </c>
      <c r="Q43" t="str">
        <f ca="1">IF(Table2[[#This Row],[Delivery Date]]&lt;=Table2[[#This Row],[Planned Delivery Date]],"On Time","Delayed")</f>
        <v>Delayed</v>
      </c>
      <c r="R43">
        <f ca="1">Table2[[#This Row],[Revenue]]-Table2[[#This Row],[Transport Cost]]</f>
        <v>689.32999999999993</v>
      </c>
      <c r="S43" s="4">
        <f t="shared" ca="1" si="0"/>
        <v>0.28999999999999998</v>
      </c>
    </row>
    <row r="44" spans="1:19" x14ac:dyDescent="0.2">
      <c r="A44" t="s">
        <v>58</v>
      </c>
      <c r="B44" s="1">
        <f t="shared" ca="1" si="1"/>
        <v>46092</v>
      </c>
      <c r="C44" s="1">
        <f t="shared" ca="1" si="2"/>
        <v>46094</v>
      </c>
      <c r="D44" s="1">
        <f t="shared" ca="1" si="3"/>
        <v>46093</v>
      </c>
      <c r="E44" t="str">
        <f t="shared" ca="1" si="4"/>
        <v>IKEA</v>
      </c>
      <c r="F44" t="str">
        <f t="shared" ca="1" si="5"/>
        <v>Czech Republic</v>
      </c>
      <c r="G44" t="str">
        <f t="shared" ca="1" si="6"/>
        <v>Prague</v>
      </c>
      <c r="H44" t="str">
        <f t="shared" ca="1" si="7"/>
        <v>Air</v>
      </c>
      <c r="I44" t="str">
        <f t="shared" ca="1" si="8"/>
        <v>FedEx</v>
      </c>
      <c r="J44" t="s">
        <v>316</v>
      </c>
      <c r="K44">
        <f t="shared" ca="1" si="9"/>
        <v>3021</v>
      </c>
      <c r="L44">
        <f t="shared" ca="1" si="10"/>
        <v>1842.81</v>
      </c>
      <c r="M44">
        <f t="shared" ca="1" si="11"/>
        <v>299</v>
      </c>
      <c r="N44">
        <f t="shared" ca="1" si="12"/>
        <v>584</v>
      </c>
      <c r="O44">
        <f ca="1">Table2[[#This Row],[Delivery Date]]-Table2[[#This Row],[Order date]]</f>
        <v>1</v>
      </c>
      <c r="P44">
        <f ca="1">MAX(0,Table2[[#This Row],[Delivery Date]]-Table2[[#This Row],[Planned Delivery Date]])</f>
        <v>0</v>
      </c>
      <c r="Q44" t="str">
        <f ca="1">IF(Table2[[#This Row],[Delivery Date]]&lt;=Table2[[#This Row],[Planned Delivery Date]],"On Time","Delayed")</f>
        <v>On Time</v>
      </c>
      <c r="R44">
        <f ca="1">Table2[[#This Row],[Revenue]]-Table2[[#This Row],[Transport Cost]]</f>
        <v>1178.19</v>
      </c>
      <c r="S44" s="4">
        <f t="shared" ca="1" si="0"/>
        <v>0.39</v>
      </c>
    </row>
    <row r="45" spans="1:19" x14ac:dyDescent="0.2">
      <c r="A45" t="s">
        <v>59</v>
      </c>
      <c r="B45" s="1">
        <f t="shared" ca="1" si="1"/>
        <v>46137</v>
      </c>
      <c r="C45" s="1">
        <f t="shared" ca="1" si="2"/>
        <v>46141</v>
      </c>
      <c r="D45" s="1">
        <f t="shared" ca="1" si="3"/>
        <v>46146</v>
      </c>
      <c r="E45" t="str">
        <f t="shared" ca="1" si="4"/>
        <v>H&amp;M</v>
      </c>
      <c r="F45" t="str">
        <f t="shared" ca="1" si="5"/>
        <v>Czech Republic</v>
      </c>
      <c r="G45" t="str">
        <f t="shared" ca="1" si="6"/>
        <v>Prague</v>
      </c>
      <c r="H45" t="str">
        <f t="shared" ca="1" si="7"/>
        <v>Rail</v>
      </c>
      <c r="I45" t="str">
        <f t="shared" ca="1" si="8"/>
        <v>Kuehne+Nagel</v>
      </c>
      <c r="J45" t="s">
        <v>316</v>
      </c>
      <c r="K45">
        <f t="shared" ca="1" si="9"/>
        <v>2487</v>
      </c>
      <c r="L45">
        <f t="shared" ca="1" si="10"/>
        <v>1641.42</v>
      </c>
      <c r="M45">
        <f t="shared" ca="1" si="11"/>
        <v>6276</v>
      </c>
      <c r="N45">
        <f t="shared" ca="1" si="12"/>
        <v>552</v>
      </c>
      <c r="O45">
        <f ca="1">Table2[[#This Row],[Delivery Date]]-Table2[[#This Row],[Order date]]</f>
        <v>9</v>
      </c>
      <c r="P45">
        <f ca="1">MAX(0,Table2[[#This Row],[Delivery Date]]-Table2[[#This Row],[Planned Delivery Date]])</f>
        <v>5</v>
      </c>
      <c r="Q45" t="str">
        <f ca="1">IF(Table2[[#This Row],[Delivery Date]]&lt;=Table2[[#This Row],[Planned Delivery Date]],"On Time","Delayed")</f>
        <v>Delayed</v>
      </c>
      <c r="R45">
        <f ca="1">Table2[[#This Row],[Revenue]]-Table2[[#This Row],[Transport Cost]]</f>
        <v>845.57999999999993</v>
      </c>
      <c r="S45" s="4">
        <f t="shared" ca="1" si="0"/>
        <v>0.33999999999999997</v>
      </c>
    </row>
    <row r="46" spans="1:19" x14ac:dyDescent="0.2">
      <c r="A46" t="s">
        <v>60</v>
      </c>
      <c r="B46" s="1">
        <f t="shared" ca="1" si="1"/>
        <v>46049</v>
      </c>
      <c r="C46" s="1">
        <f t="shared" ca="1" si="2"/>
        <v>46054</v>
      </c>
      <c r="D46" s="1">
        <f t="shared" ca="1" si="3"/>
        <v>46055</v>
      </c>
      <c r="E46" t="str">
        <f t="shared" ca="1" si="4"/>
        <v>Allegro</v>
      </c>
      <c r="F46" t="str">
        <f t="shared" ca="1" si="5"/>
        <v>Spain</v>
      </c>
      <c r="G46" t="str">
        <f t="shared" ca="1" si="6"/>
        <v>Madrid</v>
      </c>
      <c r="H46" t="str">
        <f t="shared" ca="1" si="7"/>
        <v>Rail</v>
      </c>
      <c r="I46" t="str">
        <f t="shared" ca="1" si="8"/>
        <v>DB Schenker</v>
      </c>
      <c r="J46" t="s">
        <v>316</v>
      </c>
      <c r="K46">
        <f t="shared" ca="1" si="9"/>
        <v>2087</v>
      </c>
      <c r="L46">
        <f t="shared" ca="1" si="10"/>
        <v>1523.51</v>
      </c>
      <c r="M46">
        <f t="shared" ca="1" si="11"/>
        <v>8637</v>
      </c>
      <c r="N46">
        <f t="shared" ca="1" si="12"/>
        <v>2044</v>
      </c>
      <c r="O46">
        <f ca="1">Table2[[#This Row],[Delivery Date]]-Table2[[#This Row],[Order date]]</f>
        <v>6</v>
      </c>
      <c r="P46">
        <f ca="1">MAX(0,Table2[[#This Row],[Delivery Date]]-Table2[[#This Row],[Planned Delivery Date]])</f>
        <v>1</v>
      </c>
      <c r="Q46" t="str">
        <f ca="1">IF(Table2[[#This Row],[Delivery Date]]&lt;=Table2[[#This Row],[Planned Delivery Date]],"On Time","Delayed")</f>
        <v>Delayed</v>
      </c>
      <c r="R46">
        <f ca="1">Table2[[#This Row],[Revenue]]-Table2[[#This Row],[Transport Cost]]</f>
        <v>563.49</v>
      </c>
      <c r="S46" s="4">
        <f t="shared" ca="1" si="0"/>
        <v>0.27</v>
      </c>
    </row>
    <row r="47" spans="1:19" x14ac:dyDescent="0.2">
      <c r="A47" t="s">
        <v>61</v>
      </c>
      <c r="B47" s="1">
        <f t="shared" ca="1" si="1"/>
        <v>46043</v>
      </c>
      <c r="C47" s="1">
        <f t="shared" ca="1" si="2"/>
        <v>46046</v>
      </c>
      <c r="D47" s="1">
        <f t="shared" ca="1" si="3"/>
        <v>46050</v>
      </c>
      <c r="E47" t="str">
        <f t="shared" ca="1" si="4"/>
        <v>Philips</v>
      </c>
      <c r="F47" t="str">
        <f t="shared" ca="1" si="5"/>
        <v>France</v>
      </c>
      <c r="G47" t="str">
        <f t="shared" ca="1" si="6"/>
        <v>Paris</v>
      </c>
      <c r="H47" t="str">
        <f t="shared" ca="1" si="7"/>
        <v>Air</v>
      </c>
      <c r="I47" t="str">
        <f t="shared" ca="1" si="8"/>
        <v>DHL</v>
      </c>
      <c r="J47" t="s">
        <v>316</v>
      </c>
      <c r="K47">
        <f t="shared" ca="1" si="9"/>
        <v>4642</v>
      </c>
      <c r="L47">
        <f t="shared" ca="1" si="10"/>
        <v>3110.14</v>
      </c>
      <c r="M47">
        <f t="shared" ca="1" si="11"/>
        <v>185</v>
      </c>
      <c r="N47">
        <f t="shared" ca="1" si="12"/>
        <v>1255</v>
      </c>
      <c r="O47">
        <f ca="1">Table2[[#This Row],[Delivery Date]]-Table2[[#This Row],[Order date]]</f>
        <v>7</v>
      </c>
      <c r="P47">
        <f ca="1">MAX(0,Table2[[#This Row],[Delivery Date]]-Table2[[#This Row],[Planned Delivery Date]])</f>
        <v>4</v>
      </c>
      <c r="Q47" t="str">
        <f ca="1">IF(Table2[[#This Row],[Delivery Date]]&lt;=Table2[[#This Row],[Planned Delivery Date]],"On Time","Delayed")</f>
        <v>Delayed</v>
      </c>
      <c r="R47">
        <f ca="1">Table2[[#This Row],[Revenue]]-Table2[[#This Row],[Transport Cost]]</f>
        <v>1531.8600000000001</v>
      </c>
      <c r="S47" s="4">
        <f t="shared" ca="1" si="0"/>
        <v>0.33</v>
      </c>
    </row>
    <row r="48" spans="1:19" x14ac:dyDescent="0.2">
      <c r="A48" t="s">
        <v>62</v>
      </c>
      <c r="B48" s="1">
        <f t="shared" ca="1" si="1"/>
        <v>46097</v>
      </c>
      <c r="C48" s="1">
        <f t="shared" ca="1" si="2"/>
        <v>46100</v>
      </c>
      <c r="D48" s="1">
        <f t="shared" ca="1" si="3"/>
        <v>46103</v>
      </c>
      <c r="E48" t="str">
        <f t="shared" ca="1" si="4"/>
        <v>Zara</v>
      </c>
      <c r="F48" t="str">
        <f t="shared" ca="1" si="5"/>
        <v>Germany</v>
      </c>
      <c r="G48" t="str">
        <f t="shared" ca="1" si="6"/>
        <v>Hamburg</v>
      </c>
      <c r="H48" t="str">
        <f t="shared" ca="1" si="7"/>
        <v>Rail</v>
      </c>
      <c r="I48" t="str">
        <f t="shared" ca="1" si="8"/>
        <v>DB Schenker</v>
      </c>
      <c r="J48" t="s">
        <v>316</v>
      </c>
      <c r="K48">
        <f t="shared" ca="1" si="9"/>
        <v>1040</v>
      </c>
      <c r="L48">
        <f t="shared" ca="1" si="10"/>
        <v>748.8</v>
      </c>
      <c r="M48">
        <f t="shared" ca="1" si="11"/>
        <v>1392</v>
      </c>
      <c r="N48">
        <f t="shared" ca="1" si="12"/>
        <v>1115</v>
      </c>
      <c r="O48">
        <f ca="1">Table2[[#This Row],[Delivery Date]]-Table2[[#This Row],[Order date]]</f>
        <v>6</v>
      </c>
      <c r="P48">
        <f ca="1">MAX(0,Table2[[#This Row],[Delivery Date]]-Table2[[#This Row],[Planned Delivery Date]])</f>
        <v>3</v>
      </c>
      <c r="Q48" t="str">
        <f ca="1">IF(Table2[[#This Row],[Delivery Date]]&lt;=Table2[[#This Row],[Planned Delivery Date]],"On Time","Delayed")</f>
        <v>Delayed</v>
      </c>
      <c r="R48">
        <f ca="1">Table2[[#This Row],[Revenue]]-Table2[[#This Row],[Transport Cost]]</f>
        <v>291.20000000000005</v>
      </c>
      <c r="S48" s="4">
        <f t="shared" ca="1" si="0"/>
        <v>0.28000000000000003</v>
      </c>
    </row>
    <row r="49" spans="1:19" x14ac:dyDescent="0.2">
      <c r="A49" t="s">
        <v>63</v>
      </c>
      <c r="B49" s="1">
        <f t="shared" ca="1" si="1"/>
        <v>46201</v>
      </c>
      <c r="C49" s="1">
        <f t="shared" ca="1" si="2"/>
        <v>46206</v>
      </c>
      <c r="D49" s="1">
        <f t="shared" ca="1" si="3"/>
        <v>46208</v>
      </c>
      <c r="E49" t="str">
        <f t="shared" ca="1" si="4"/>
        <v>Allegro</v>
      </c>
      <c r="F49" t="str">
        <f t="shared" ca="1" si="5"/>
        <v>Germany</v>
      </c>
      <c r="G49" t="str">
        <f t="shared" ca="1" si="6"/>
        <v>Munich</v>
      </c>
      <c r="H49" t="str">
        <f t="shared" ca="1" si="7"/>
        <v>Road</v>
      </c>
      <c r="I49" t="str">
        <f t="shared" ca="1" si="8"/>
        <v>GLS</v>
      </c>
      <c r="J49" t="s">
        <v>316</v>
      </c>
      <c r="K49">
        <f t="shared" ca="1" si="9"/>
        <v>1578</v>
      </c>
      <c r="L49">
        <f t="shared" ca="1" si="10"/>
        <v>867.9</v>
      </c>
      <c r="M49">
        <f t="shared" ca="1" si="11"/>
        <v>4228</v>
      </c>
      <c r="N49">
        <f t="shared" ca="1" si="12"/>
        <v>840</v>
      </c>
      <c r="O49">
        <f ca="1">Table2[[#This Row],[Delivery Date]]-Table2[[#This Row],[Order date]]</f>
        <v>7</v>
      </c>
      <c r="P49">
        <f ca="1">MAX(0,Table2[[#This Row],[Delivery Date]]-Table2[[#This Row],[Planned Delivery Date]])</f>
        <v>2</v>
      </c>
      <c r="Q49" t="str">
        <f ca="1">IF(Table2[[#This Row],[Delivery Date]]&lt;=Table2[[#This Row],[Planned Delivery Date]],"On Time","Delayed")</f>
        <v>Delayed</v>
      </c>
      <c r="R49">
        <f ca="1">Table2[[#This Row],[Revenue]]-Table2[[#This Row],[Transport Cost]]</f>
        <v>710.1</v>
      </c>
      <c r="S49" s="4">
        <f t="shared" ca="1" si="0"/>
        <v>0.45</v>
      </c>
    </row>
    <row r="50" spans="1:19" x14ac:dyDescent="0.2">
      <c r="A50" t="s">
        <v>64</v>
      </c>
      <c r="B50" s="1">
        <f t="shared" ca="1" si="1"/>
        <v>46037</v>
      </c>
      <c r="C50" s="1">
        <f t="shared" ca="1" si="2"/>
        <v>46045</v>
      </c>
      <c r="D50" s="1">
        <f t="shared" ca="1" si="3"/>
        <v>46046</v>
      </c>
      <c r="E50" t="str">
        <f t="shared" ca="1" si="4"/>
        <v>Zara</v>
      </c>
      <c r="F50" t="str">
        <f t="shared" ca="1" si="5"/>
        <v>Spain</v>
      </c>
      <c r="G50" t="str">
        <f t="shared" ca="1" si="6"/>
        <v>Madrid</v>
      </c>
      <c r="H50" t="str">
        <f t="shared" ca="1" si="7"/>
        <v>Air</v>
      </c>
      <c r="I50" t="str">
        <f t="shared" ca="1" si="8"/>
        <v>FedEx</v>
      </c>
      <c r="J50" t="s">
        <v>316</v>
      </c>
      <c r="K50">
        <f t="shared" ca="1" si="9"/>
        <v>3481</v>
      </c>
      <c r="L50">
        <f t="shared" ca="1" si="10"/>
        <v>2367.08</v>
      </c>
      <c r="M50">
        <f t="shared" ca="1" si="11"/>
        <v>757</v>
      </c>
      <c r="N50">
        <f t="shared" ca="1" si="12"/>
        <v>2169</v>
      </c>
      <c r="O50">
        <f ca="1">Table2[[#This Row],[Delivery Date]]-Table2[[#This Row],[Order date]]</f>
        <v>9</v>
      </c>
      <c r="P50">
        <f ca="1">MAX(0,Table2[[#This Row],[Delivery Date]]-Table2[[#This Row],[Planned Delivery Date]])</f>
        <v>1</v>
      </c>
      <c r="Q50" t="str">
        <f ca="1">IF(Table2[[#This Row],[Delivery Date]]&lt;=Table2[[#This Row],[Planned Delivery Date]],"On Time","Delayed")</f>
        <v>Delayed</v>
      </c>
      <c r="R50">
        <f ca="1">Table2[[#This Row],[Revenue]]-Table2[[#This Row],[Transport Cost]]</f>
        <v>1113.92</v>
      </c>
      <c r="S50" s="4">
        <f t="shared" ca="1" si="0"/>
        <v>0.32</v>
      </c>
    </row>
    <row r="51" spans="1:19" x14ac:dyDescent="0.2">
      <c r="A51" t="s">
        <v>65</v>
      </c>
      <c r="B51" s="1">
        <f t="shared" ca="1" si="1"/>
        <v>46167</v>
      </c>
      <c r="C51" s="1">
        <f t="shared" ca="1" si="2"/>
        <v>46173</v>
      </c>
      <c r="D51" s="1">
        <f t="shared" ca="1" si="3"/>
        <v>46177</v>
      </c>
      <c r="E51" t="str">
        <f t="shared" ca="1" si="4"/>
        <v>IKEA</v>
      </c>
      <c r="F51" t="str">
        <f t="shared" ca="1" si="5"/>
        <v>Spain</v>
      </c>
      <c r="G51" t="str">
        <f t="shared" ca="1" si="6"/>
        <v>Barcelona</v>
      </c>
      <c r="H51" t="str">
        <f t="shared" ca="1" si="7"/>
        <v>Rail</v>
      </c>
      <c r="I51" t="str">
        <f t="shared" ca="1" si="8"/>
        <v>DB Schenker</v>
      </c>
      <c r="J51" t="s">
        <v>316</v>
      </c>
      <c r="K51">
        <f t="shared" ca="1" si="9"/>
        <v>1412</v>
      </c>
      <c r="L51">
        <f t="shared" ca="1" si="10"/>
        <v>1101.3599999999999</v>
      </c>
      <c r="M51">
        <f t="shared" ca="1" si="11"/>
        <v>7649</v>
      </c>
      <c r="N51">
        <f t="shared" ca="1" si="12"/>
        <v>2113</v>
      </c>
      <c r="O51">
        <f ca="1">Table2[[#This Row],[Delivery Date]]-Table2[[#This Row],[Order date]]</f>
        <v>10</v>
      </c>
      <c r="P51">
        <f ca="1">MAX(0,Table2[[#This Row],[Delivery Date]]-Table2[[#This Row],[Planned Delivery Date]])</f>
        <v>4</v>
      </c>
      <c r="Q51" t="str">
        <f ca="1">IF(Table2[[#This Row],[Delivery Date]]&lt;=Table2[[#This Row],[Planned Delivery Date]],"On Time","Delayed")</f>
        <v>Delayed</v>
      </c>
      <c r="R51">
        <f ca="1">Table2[[#This Row],[Revenue]]-Table2[[#This Row],[Transport Cost]]</f>
        <v>310.6400000000001</v>
      </c>
      <c r="S51" s="4">
        <f t="shared" ca="1" si="0"/>
        <v>0.22000000000000008</v>
      </c>
    </row>
    <row r="52" spans="1:19" x14ac:dyDescent="0.2">
      <c r="A52" t="s">
        <v>66</v>
      </c>
      <c r="B52" s="1">
        <f t="shared" ca="1" si="1"/>
        <v>46167</v>
      </c>
      <c r="C52" s="1">
        <f t="shared" ca="1" si="2"/>
        <v>46169</v>
      </c>
      <c r="D52" s="1">
        <f t="shared" ca="1" si="3"/>
        <v>46169</v>
      </c>
      <c r="E52" t="str">
        <f t="shared" ca="1" si="4"/>
        <v>Allegro</v>
      </c>
      <c r="F52" t="str">
        <f t="shared" ca="1" si="5"/>
        <v>Poland</v>
      </c>
      <c r="G52" t="str">
        <f t="shared" ca="1" si="6"/>
        <v>Warsaw</v>
      </c>
      <c r="H52" t="str">
        <f t="shared" ca="1" si="7"/>
        <v>Road</v>
      </c>
      <c r="I52" t="str">
        <f t="shared" ca="1" si="8"/>
        <v>DHL</v>
      </c>
      <c r="J52" t="s">
        <v>316</v>
      </c>
      <c r="K52">
        <f t="shared" ca="1" si="9"/>
        <v>1032</v>
      </c>
      <c r="L52">
        <f t="shared" ca="1" si="10"/>
        <v>670.8</v>
      </c>
      <c r="M52">
        <f t="shared" ca="1" si="11"/>
        <v>4790</v>
      </c>
      <c r="N52">
        <f t="shared" ca="1" si="12"/>
        <v>490</v>
      </c>
      <c r="O52">
        <f ca="1">Table2[[#This Row],[Delivery Date]]-Table2[[#This Row],[Order date]]</f>
        <v>2</v>
      </c>
      <c r="P52">
        <f ca="1">MAX(0,Table2[[#This Row],[Delivery Date]]-Table2[[#This Row],[Planned Delivery Date]])</f>
        <v>0</v>
      </c>
      <c r="Q52" t="str">
        <f ca="1">IF(Table2[[#This Row],[Delivery Date]]&lt;=Table2[[#This Row],[Planned Delivery Date]],"On Time","Delayed")</f>
        <v>On Time</v>
      </c>
      <c r="R52">
        <f ca="1">Table2[[#This Row],[Revenue]]-Table2[[#This Row],[Transport Cost]]</f>
        <v>361.20000000000005</v>
      </c>
      <c r="S52" s="4">
        <f t="shared" ca="1" si="0"/>
        <v>0.35000000000000003</v>
      </c>
    </row>
    <row r="53" spans="1:19" x14ac:dyDescent="0.2">
      <c r="A53" t="s">
        <v>67</v>
      </c>
      <c r="B53" s="1">
        <f t="shared" ca="1" si="1"/>
        <v>46036</v>
      </c>
      <c r="C53" s="1">
        <f t="shared" ca="1" si="2"/>
        <v>46045</v>
      </c>
      <c r="D53" s="1">
        <f t="shared" ca="1" si="3"/>
        <v>46047</v>
      </c>
      <c r="E53" t="str">
        <f t="shared" ca="1" si="4"/>
        <v>IKEA</v>
      </c>
      <c r="F53" t="str">
        <f t="shared" ca="1" si="5"/>
        <v>Czech Republic</v>
      </c>
      <c r="G53" t="str">
        <f t="shared" ca="1" si="6"/>
        <v>Prague</v>
      </c>
      <c r="H53" t="str">
        <f t="shared" ca="1" si="7"/>
        <v>Rail</v>
      </c>
      <c r="I53" t="str">
        <f t="shared" ca="1" si="8"/>
        <v>DB Schenker</v>
      </c>
      <c r="J53" t="s">
        <v>316</v>
      </c>
      <c r="K53">
        <f t="shared" ca="1" si="9"/>
        <v>845</v>
      </c>
      <c r="L53">
        <f t="shared" ca="1" si="10"/>
        <v>515.45000000000005</v>
      </c>
      <c r="M53">
        <f t="shared" ca="1" si="11"/>
        <v>6520</v>
      </c>
      <c r="N53">
        <f t="shared" ca="1" si="12"/>
        <v>500</v>
      </c>
      <c r="O53">
        <f ca="1">Table2[[#This Row],[Delivery Date]]-Table2[[#This Row],[Order date]]</f>
        <v>11</v>
      </c>
      <c r="P53">
        <f ca="1">MAX(0,Table2[[#This Row],[Delivery Date]]-Table2[[#This Row],[Planned Delivery Date]])</f>
        <v>2</v>
      </c>
      <c r="Q53" t="str">
        <f ca="1">IF(Table2[[#This Row],[Delivery Date]]&lt;=Table2[[#This Row],[Planned Delivery Date]],"On Time","Delayed")</f>
        <v>Delayed</v>
      </c>
      <c r="R53">
        <f ca="1">Table2[[#This Row],[Revenue]]-Table2[[#This Row],[Transport Cost]]</f>
        <v>329.54999999999995</v>
      </c>
      <c r="S53" s="4">
        <f t="shared" ca="1" si="0"/>
        <v>0.38999999999999996</v>
      </c>
    </row>
    <row r="54" spans="1:19" x14ac:dyDescent="0.2">
      <c r="A54" t="s">
        <v>68</v>
      </c>
      <c r="B54" s="1">
        <f t="shared" ca="1" si="1"/>
        <v>46084</v>
      </c>
      <c r="C54" s="1">
        <f t="shared" ca="1" si="2"/>
        <v>46092</v>
      </c>
      <c r="D54" s="1">
        <f t="shared" ca="1" si="3"/>
        <v>46091</v>
      </c>
      <c r="E54" t="str">
        <f t="shared" ca="1" si="4"/>
        <v>Samsung</v>
      </c>
      <c r="F54" t="str">
        <f t="shared" ca="1" si="5"/>
        <v>Germany</v>
      </c>
      <c r="G54" t="str">
        <f t="shared" ca="1" si="6"/>
        <v>Munich</v>
      </c>
      <c r="H54" t="str">
        <f t="shared" ca="1" si="7"/>
        <v>Rail</v>
      </c>
      <c r="I54" t="str">
        <f t="shared" ca="1" si="8"/>
        <v>DB Schenker</v>
      </c>
      <c r="J54" t="s">
        <v>316</v>
      </c>
      <c r="K54">
        <f t="shared" ca="1" si="9"/>
        <v>1243</v>
      </c>
      <c r="L54">
        <f t="shared" ca="1" si="10"/>
        <v>1056.55</v>
      </c>
      <c r="M54">
        <f t="shared" ca="1" si="11"/>
        <v>9694</v>
      </c>
      <c r="N54">
        <f t="shared" ca="1" si="12"/>
        <v>673</v>
      </c>
      <c r="O54">
        <f ca="1">Table2[[#This Row],[Delivery Date]]-Table2[[#This Row],[Order date]]</f>
        <v>7</v>
      </c>
      <c r="P54">
        <f ca="1">MAX(0,Table2[[#This Row],[Delivery Date]]-Table2[[#This Row],[Planned Delivery Date]])</f>
        <v>0</v>
      </c>
      <c r="Q54" t="str">
        <f ca="1">IF(Table2[[#This Row],[Delivery Date]]&lt;=Table2[[#This Row],[Planned Delivery Date]],"On Time","Delayed")</f>
        <v>On Time</v>
      </c>
      <c r="R54">
        <f ca="1">Table2[[#This Row],[Revenue]]-Table2[[#This Row],[Transport Cost]]</f>
        <v>186.45000000000005</v>
      </c>
      <c r="S54" s="4">
        <f t="shared" ca="1" si="0"/>
        <v>0.15000000000000005</v>
      </c>
    </row>
    <row r="55" spans="1:19" x14ac:dyDescent="0.2">
      <c r="A55" t="s">
        <v>69</v>
      </c>
      <c r="B55" s="1">
        <f t="shared" ca="1" si="1"/>
        <v>46079</v>
      </c>
      <c r="C55" s="1">
        <f t="shared" ca="1" si="2"/>
        <v>46082</v>
      </c>
      <c r="D55" s="1">
        <f t="shared" ca="1" si="3"/>
        <v>46082</v>
      </c>
      <c r="E55" t="str">
        <f t="shared" ca="1" si="4"/>
        <v>Zara</v>
      </c>
      <c r="F55" t="str">
        <f t="shared" ca="1" si="5"/>
        <v>France</v>
      </c>
      <c r="G55" t="str">
        <f t="shared" ca="1" si="6"/>
        <v>Paris</v>
      </c>
      <c r="H55" t="str">
        <f t="shared" ca="1" si="7"/>
        <v>Road</v>
      </c>
      <c r="I55" t="str">
        <f t="shared" ca="1" si="8"/>
        <v>DHL</v>
      </c>
      <c r="J55" t="s">
        <v>316</v>
      </c>
      <c r="K55">
        <f t="shared" ca="1" si="9"/>
        <v>2174</v>
      </c>
      <c r="L55">
        <f t="shared" ca="1" si="10"/>
        <v>1500.06</v>
      </c>
      <c r="M55">
        <f t="shared" ca="1" si="11"/>
        <v>2418</v>
      </c>
      <c r="N55">
        <f t="shared" ca="1" si="12"/>
        <v>1727</v>
      </c>
      <c r="O55">
        <f ca="1">Table2[[#This Row],[Delivery Date]]-Table2[[#This Row],[Order date]]</f>
        <v>3</v>
      </c>
      <c r="P55">
        <f ca="1">MAX(0,Table2[[#This Row],[Delivery Date]]-Table2[[#This Row],[Planned Delivery Date]])</f>
        <v>0</v>
      </c>
      <c r="Q55" t="str">
        <f ca="1">IF(Table2[[#This Row],[Delivery Date]]&lt;=Table2[[#This Row],[Planned Delivery Date]],"On Time","Delayed")</f>
        <v>On Time</v>
      </c>
      <c r="R55">
        <f ca="1">Table2[[#This Row],[Revenue]]-Table2[[#This Row],[Transport Cost]]</f>
        <v>673.94</v>
      </c>
      <c r="S55" s="4">
        <f t="shared" ca="1" si="0"/>
        <v>0.31</v>
      </c>
    </row>
    <row r="56" spans="1:19" x14ac:dyDescent="0.2">
      <c r="A56" t="s">
        <v>70</v>
      </c>
      <c r="B56" s="1">
        <f t="shared" ca="1" si="1"/>
        <v>46156</v>
      </c>
      <c r="C56" s="1">
        <f t="shared" ca="1" si="2"/>
        <v>46159</v>
      </c>
      <c r="D56" s="1">
        <f t="shared" ca="1" si="3"/>
        <v>46161</v>
      </c>
      <c r="E56" t="str">
        <f t="shared" ca="1" si="4"/>
        <v>Allegro</v>
      </c>
      <c r="F56" t="str">
        <f t="shared" ca="1" si="5"/>
        <v>Italy</v>
      </c>
      <c r="G56" t="str">
        <f t="shared" ca="1" si="6"/>
        <v>Milan</v>
      </c>
      <c r="H56" t="str">
        <f t="shared" ca="1" si="7"/>
        <v>Sea</v>
      </c>
      <c r="I56" t="str">
        <f t="shared" ca="1" si="8"/>
        <v>Maersk</v>
      </c>
      <c r="J56" t="s">
        <v>316</v>
      </c>
      <c r="K56">
        <f t="shared" ca="1" si="9"/>
        <v>4653</v>
      </c>
      <c r="L56">
        <f t="shared" ca="1" si="10"/>
        <v>3722.4</v>
      </c>
      <c r="M56">
        <f t="shared" ca="1" si="11"/>
        <v>10528</v>
      </c>
      <c r="N56">
        <f t="shared" ca="1" si="12"/>
        <v>1407</v>
      </c>
      <c r="O56">
        <f ca="1">Table2[[#This Row],[Delivery Date]]-Table2[[#This Row],[Order date]]</f>
        <v>5</v>
      </c>
      <c r="P56">
        <f ca="1">MAX(0,Table2[[#This Row],[Delivery Date]]-Table2[[#This Row],[Planned Delivery Date]])</f>
        <v>2</v>
      </c>
      <c r="Q56" t="str">
        <f ca="1">IF(Table2[[#This Row],[Delivery Date]]&lt;=Table2[[#This Row],[Planned Delivery Date]],"On Time","Delayed")</f>
        <v>Delayed</v>
      </c>
      <c r="R56">
        <f ca="1">Table2[[#This Row],[Revenue]]-Table2[[#This Row],[Transport Cost]]</f>
        <v>930.59999999999991</v>
      </c>
      <c r="S56" s="4">
        <f t="shared" ca="1" si="0"/>
        <v>0.19999999999999998</v>
      </c>
    </row>
    <row r="57" spans="1:19" x14ac:dyDescent="0.2">
      <c r="A57" t="s">
        <v>71</v>
      </c>
      <c r="B57" s="1">
        <f t="shared" ca="1" si="1"/>
        <v>46074</v>
      </c>
      <c r="C57" s="1">
        <f t="shared" ca="1" si="2"/>
        <v>46081</v>
      </c>
      <c r="D57" s="1">
        <f t="shared" ca="1" si="3"/>
        <v>46084</v>
      </c>
      <c r="E57" t="str">
        <f t="shared" ca="1" si="4"/>
        <v>Philips</v>
      </c>
      <c r="F57" t="str">
        <f t="shared" ca="1" si="5"/>
        <v>Poland</v>
      </c>
      <c r="G57" t="str">
        <f t="shared" ca="1" si="6"/>
        <v>Warsaw</v>
      </c>
      <c r="H57" t="str">
        <f t="shared" ca="1" si="7"/>
        <v>Road</v>
      </c>
      <c r="I57" t="str">
        <f t="shared" ca="1" si="8"/>
        <v>DB Schenker</v>
      </c>
      <c r="J57" t="s">
        <v>316</v>
      </c>
      <c r="K57">
        <f t="shared" ca="1" si="9"/>
        <v>734</v>
      </c>
      <c r="L57">
        <f t="shared" ca="1" si="10"/>
        <v>594.54</v>
      </c>
      <c r="M57">
        <f t="shared" ca="1" si="11"/>
        <v>4803</v>
      </c>
      <c r="N57">
        <f t="shared" ca="1" si="12"/>
        <v>438</v>
      </c>
      <c r="O57">
        <f ca="1">Table2[[#This Row],[Delivery Date]]-Table2[[#This Row],[Order date]]</f>
        <v>10</v>
      </c>
      <c r="P57">
        <f ca="1">MAX(0,Table2[[#This Row],[Delivery Date]]-Table2[[#This Row],[Planned Delivery Date]])</f>
        <v>3</v>
      </c>
      <c r="Q57" t="str">
        <f ca="1">IF(Table2[[#This Row],[Delivery Date]]&lt;=Table2[[#This Row],[Planned Delivery Date]],"On Time","Delayed")</f>
        <v>Delayed</v>
      </c>
      <c r="R57">
        <f ca="1">Table2[[#This Row],[Revenue]]-Table2[[#This Row],[Transport Cost]]</f>
        <v>139.46000000000004</v>
      </c>
      <c r="S57" s="4">
        <f t="shared" ca="1" si="0"/>
        <v>0.19000000000000006</v>
      </c>
    </row>
    <row r="58" spans="1:19" x14ac:dyDescent="0.2">
      <c r="A58" t="s">
        <v>72</v>
      </c>
      <c r="B58" s="1">
        <f t="shared" ca="1" si="1"/>
        <v>46051</v>
      </c>
      <c r="C58" s="1">
        <f t="shared" ca="1" si="2"/>
        <v>46061</v>
      </c>
      <c r="D58" s="1">
        <f t="shared" ca="1" si="3"/>
        <v>46062</v>
      </c>
      <c r="E58" t="str">
        <f t="shared" ca="1" si="4"/>
        <v>Bosch</v>
      </c>
      <c r="F58" t="str">
        <f t="shared" ca="1" si="5"/>
        <v>Germany</v>
      </c>
      <c r="G58" t="str">
        <f t="shared" ca="1" si="6"/>
        <v>Hamburg</v>
      </c>
      <c r="H58" t="str">
        <f t="shared" ca="1" si="7"/>
        <v>Air</v>
      </c>
      <c r="I58" t="str">
        <f t="shared" ca="1" si="8"/>
        <v>DHL</v>
      </c>
      <c r="J58" t="s">
        <v>316</v>
      </c>
      <c r="K58">
        <f t="shared" ca="1" si="9"/>
        <v>4394</v>
      </c>
      <c r="L58">
        <f t="shared" ca="1" si="10"/>
        <v>2416.6999999999998</v>
      </c>
      <c r="M58">
        <f t="shared" ca="1" si="11"/>
        <v>557</v>
      </c>
      <c r="N58">
        <f t="shared" ca="1" si="12"/>
        <v>544</v>
      </c>
      <c r="O58">
        <f ca="1">Table2[[#This Row],[Delivery Date]]-Table2[[#This Row],[Order date]]</f>
        <v>11</v>
      </c>
      <c r="P58">
        <f ca="1">MAX(0,Table2[[#This Row],[Delivery Date]]-Table2[[#This Row],[Planned Delivery Date]])</f>
        <v>1</v>
      </c>
      <c r="Q58" t="str">
        <f ca="1">IF(Table2[[#This Row],[Delivery Date]]&lt;=Table2[[#This Row],[Planned Delivery Date]],"On Time","Delayed")</f>
        <v>Delayed</v>
      </c>
      <c r="R58">
        <f ca="1">Table2[[#This Row],[Revenue]]-Table2[[#This Row],[Transport Cost]]</f>
        <v>1977.3000000000002</v>
      </c>
      <c r="S58" s="4">
        <f t="shared" ca="1" si="0"/>
        <v>0.45000000000000007</v>
      </c>
    </row>
    <row r="59" spans="1:19" x14ac:dyDescent="0.2">
      <c r="A59" t="s">
        <v>73</v>
      </c>
      <c r="B59" s="1">
        <f t="shared" ca="1" si="1"/>
        <v>46140</v>
      </c>
      <c r="C59" s="1">
        <f t="shared" ca="1" si="2"/>
        <v>46146</v>
      </c>
      <c r="D59" s="1">
        <f t="shared" ca="1" si="3"/>
        <v>46148</v>
      </c>
      <c r="E59" t="str">
        <f t="shared" ca="1" si="4"/>
        <v>H&amp;M</v>
      </c>
      <c r="F59" t="str">
        <f t="shared" ca="1" si="5"/>
        <v>Germany</v>
      </c>
      <c r="G59" t="str">
        <f t="shared" ca="1" si="6"/>
        <v>Berlin</v>
      </c>
      <c r="H59" t="str">
        <f t="shared" ca="1" si="7"/>
        <v>Road</v>
      </c>
      <c r="I59" t="str">
        <f t="shared" ca="1" si="8"/>
        <v>GLS</v>
      </c>
      <c r="J59" t="s">
        <v>316</v>
      </c>
      <c r="K59">
        <f t="shared" ca="1" si="9"/>
        <v>1512</v>
      </c>
      <c r="L59">
        <f t="shared" ca="1" si="10"/>
        <v>1179.3599999999999</v>
      </c>
      <c r="M59">
        <f t="shared" ca="1" si="11"/>
        <v>1389</v>
      </c>
      <c r="N59">
        <f t="shared" ca="1" si="12"/>
        <v>802</v>
      </c>
      <c r="O59">
        <f ca="1">Table2[[#This Row],[Delivery Date]]-Table2[[#This Row],[Order date]]</f>
        <v>8</v>
      </c>
      <c r="P59">
        <f ca="1">MAX(0,Table2[[#This Row],[Delivery Date]]-Table2[[#This Row],[Planned Delivery Date]])</f>
        <v>2</v>
      </c>
      <c r="Q59" t="str">
        <f ca="1">IF(Table2[[#This Row],[Delivery Date]]&lt;=Table2[[#This Row],[Planned Delivery Date]],"On Time","Delayed")</f>
        <v>Delayed</v>
      </c>
      <c r="R59">
        <f ca="1">Table2[[#This Row],[Revenue]]-Table2[[#This Row],[Transport Cost]]</f>
        <v>332.6400000000001</v>
      </c>
      <c r="S59" s="4">
        <f t="shared" ca="1" si="0"/>
        <v>0.22000000000000006</v>
      </c>
    </row>
    <row r="60" spans="1:19" x14ac:dyDescent="0.2">
      <c r="A60" t="s">
        <v>74</v>
      </c>
      <c r="B60" s="1">
        <f t="shared" ca="1" si="1"/>
        <v>46152</v>
      </c>
      <c r="C60" s="1">
        <f t="shared" ca="1" si="2"/>
        <v>46154</v>
      </c>
      <c r="D60" s="1">
        <f t="shared" ca="1" si="3"/>
        <v>46153</v>
      </c>
      <c r="E60" t="str">
        <f t="shared" ca="1" si="4"/>
        <v>Allegro</v>
      </c>
      <c r="F60" t="str">
        <f t="shared" ca="1" si="5"/>
        <v>Spain</v>
      </c>
      <c r="G60" t="str">
        <f t="shared" ca="1" si="6"/>
        <v>Madrid</v>
      </c>
      <c r="H60" t="str">
        <f t="shared" ca="1" si="7"/>
        <v>Air</v>
      </c>
      <c r="I60" t="str">
        <f t="shared" ca="1" si="8"/>
        <v>UPS</v>
      </c>
      <c r="J60" t="s">
        <v>316</v>
      </c>
      <c r="K60">
        <f t="shared" ca="1" si="9"/>
        <v>2605</v>
      </c>
      <c r="L60">
        <f t="shared" ca="1" si="10"/>
        <v>2188.1999999999998</v>
      </c>
      <c r="M60">
        <f t="shared" ca="1" si="11"/>
        <v>101</v>
      </c>
      <c r="N60">
        <f t="shared" ca="1" si="12"/>
        <v>2193</v>
      </c>
      <c r="O60">
        <f ca="1">Table2[[#This Row],[Delivery Date]]-Table2[[#This Row],[Order date]]</f>
        <v>1</v>
      </c>
      <c r="P60">
        <f ca="1">MAX(0,Table2[[#This Row],[Delivery Date]]-Table2[[#This Row],[Planned Delivery Date]])</f>
        <v>0</v>
      </c>
      <c r="Q60" t="str">
        <f ca="1">IF(Table2[[#This Row],[Delivery Date]]&lt;=Table2[[#This Row],[Planned Delivery Date]],"On Time","Delayed")</f>
        <v>On Time</v>
      </c>
      <c r="R60">
        <f ca="1">Table2[[#This Row],[Revenue]]-Table2[[#This Row],[Transport Cost]]</f>
        <v>416.80000000000018</v>
      </c>
      <c r="S60" s="4">
        <f t="shared" ca="1" si="0"/>
        <v>0.16000000000000006</v>
      </c>
    </row>
    <row r="61" spans="1:19" x14ac:dyDescent="0.2">
      <c r="A61" t="s">
        <v>75</v>
      </c>
      <c r="B61" s="1">
        <f t="shared" ca="1" si="1"/>
        <v>46099</v>
      </c>
      <c r="C61" s="1">
        <f t="shared" ca="1" si="2"/>
        <v>46104</v>
      </c>
      <c r="D61" s="1">
        <f t="shared" ca="1" si="3"/>
        <v>46103</v>
      </c>
      <c r="E61" t="str">
        <f t="shared" ca="1" si="4"/>
        <v>IKEA</v>
      </c>
      <c r="F61" t="str">
        <f t="shared" ca="1" si="5"/>
        <v>Czech Republic</v>
      </c>
      <c r="G61" t="str">
        <f t="shared" ca="1" si="6"/>
        <v>Prague</v>
      </c>
      <c r="H61" t="str">
        <f t="shared" ca="1" si="7"/>
        <v>Road</v>
      </c>
      <c r="I61" t="str">
        <f t="shared" ca="1" si="8"/>
        <v>UPS</v>
      </c>
      <c r="J61" t="s">
        <v>316</v>
      </c>
      <c r="K61">
        <f t="shared" ca="1" si="9"/>
        <v>1455</v>
      </c>
      <c r="L61">
        <f t="shared" ca="1" si="10"/>
        <v>829.35</v>
      </c>
      <c r="M61">
        <f t="shared" ca="1" si="11"/>
        <v>2110</v>
      </c>
      <c r="N61">
        <f t="shared" ca="1" si="12"/>
        <v>724</v>
      </c>
      <c r="O61">
        <f ca="1">Table2[[#This Row],[Delivery Date]]-Table2[[#This Row],[Order date]]</f>
        <v>4</v>
      </c>
      <c r="P61">
        <f ca="1">MAX(0,Table2[[#This Row],[Delivery Date]]-Table2[[#This Row],[Planned Delivery Date]])</f>
        <v>0</v>
      </c>
      <c r="Q61" t="str">
        <f ca="1">IF(Table2[[#This Row],[Delivery Date]]&lt;=Table2[[#This Row],[Planned Delivery Date]],"On Time","Delayed")</f>
        <v>On Time</v>
      </c>
      <c r="R61">
        <f ca="1">Table2[[#This Row],[Revenue]]-Table2[[#This Row],[Transport Cost]]</f>
        <v>625.65</v>
      </c>
      <c r="S61" s="4">
        <f t="shared" ca="1" si="0"/>
        <v>0.43</v>
      </c>
    </row>
    <row r="62" spans="1:19" x14ac:dyDescent="0.2">
      <c r="A62" t="s">
        <v>76</v>
      </c>
      <c r="B62" s="1">
        <f t="shared" ca="1" si="1"/>
        <v>46044</v>
      </c>
      <c r="C62" s="1">
        <f t="shared" ca="1" si="2"/>
        <v>46052</v>
      </c>
      <c r="D62" s="1">
        <f t="shared" ca="1" si="3"/>
        <v>46055</v>
      </c>
      <c r="E62" t="str">
        <f t="shared" ca="1" si="4"/>
        <v>Philips</v>
      </c>
      <c r="F62" t="str">
        <f t="shared" ca="1" si="5"/>
        <v>Italy</v>
      </c>
      <c r="G62" t="str">
        <f t="shared" ca="1" si="6"/>
        <v>Rome</v>
      </c>
      <c r="H62" t="str">
        <f t="shared" ca="1" si="7"/>
        <v>Sea</v>
      </c>
      <c r="I62" t="str">
        <f t="shared" ca="1" si="8"/>
        <v>Maersk</v>
      </c>
      <c r="J62" t="s">
        <v>316</v>
      </c>
      <c r="K62">
        <f t="shared" ca="1" si="9"/>
        <v>4477</v>
      </c>
      <c r="L62">
        <f t="shared" ca="1" si="10"/>
        <v>2641.43</v>
      </c>
      <c r="M62">
        <f t="shared" ca="1" si="11"/>
        <v>5618</v>
      </c>
      <c r="N62">
        <f t="shared" ca="1" si="12"/>
        <v>1894</v>
      </c>
      <c r="O62">
        <f ca="1">Table2[[#This Row],[Delivery Date]]-Table2[[#This Row],[Order date]]</f>
        <v>11</v>
      </c>
      <c r="P62">
        <f ca="1">MAX(0,Table2[[#This Row],[Delivery Date]]-Table2[[#This Row],[Planned Delivery Date]])</f>
        <v>3</v>
      </c>
      <c r="Q62" t="str">
        <f ca="1">IF(Table2[[#This Row],[Delivery Date]]&lt;=Table2[[#This Row],[Planned Delivery Date]],"On Time","Delayed")</f>
        <v>Delayed</v>
      </c>
      <c r="R62">
        <f ca="1">Table2[[#This Row],[Revenue]]-Table2[[#This Row],[Transport Cost]]</f>
        <v>1835.5700000000002</v>
      </c>
      <c r="S62" s="4">
        <f t="shared" ca="1" si="0"/>
        <v>0.41000000000000003</v>
      </c>
    </row>
    <row r="63" spans="1:19" x14ac:dyDescent="0.2">
      <c r="A63" t="s">
        <v>77</v>
      </c>
      <c r="B63" s="1">
        <f t="shared" ca="1" si="1"/>
        <v>46140</v>
      </c>
      <c r="C63" s="1">
        <f t="shared" ca="1" si="2"/>
        <v>46145</v>
      </c>
      <c r="D63" s="1">
        <f t="shared" ca="1" si="3"/>
        <v>46148</v>
      </c>
      <c r="E63" t="str">
        <f t="shared" ca="1" si="4"/>
        <v>IKEA</v>
      </c>
      <c r="F63" t="str">
        <f t="shared" ca="1" si="5"/>
        <v>Germany</v>
      </c>
      <c r="G63" t="str">
        <f t="shared" ca="1" si="6"/>
        <v>Berlin</v>
      </c>
      <c r="H63" t="str">
        <f t="shared" ca="1" si="7"/>
        <v>Air</v>
      </c>
      <c r="I63" t="str">
        <f t="shared" ca="1" si="8"/>
        <v>UPS</v>
      </c>
      <c r="J63" t="s">
        <v>316</v>
      </c>
      <c r="K63">
        <f t="shared" ca="1" si="9"/>
        <v>3811</v>
      </c>
      <c r="L63">
        <f t="shared" ca="1" si="10"/>
        <v>2439.04</v>
      </c>
      <c r="M63">
        <f t="shared" ca="1" si="11"/>
        <v>646</v>
      </c>
      <c r="N63">
        <f t="shared" ca="1" si="12"/>
        <v>701</v>
      </c>
      <c r="O63">
        <f ca="1">Table2[[#This Row],[Delivery Date]]-Table2[[#This Row],[Order date]]</f>
        <v>8</v>
      </c>
      <c r="P63">
        <f ca="1">MAX(0,Table2[[#This Row],[Delivery Date]]-Table2[[#This Row],[Planned Delivery Date]])</f>
        <v>3</v>
      </c>
      <c r="Q63" t="str">
        <f ca="1">IF(Table2[[#This Row],[Delivery Date]]&lt;=Table2[[#This Row],[Planned Delivery Date]],"On Time","Delayed")</f>
        <v>Delayed</v>
      </c>
      <c r="R63">
        <f ca="1">Table2[[#This Row],[Revenue]]-Table2[[#This Row],[Transport Cost]]</f>
        <v>1371.96</v>
      </c>
      <c r="S63" s="4">
        <f t="shared" ca="1" si="0"/>
        <v>0.36</v>
      </c>
    </row>
    <row r="64" spans="1:19" x14ac:dyDescent="0.2">
      <c r="A64" t="s">
        <v>78</v>
      </c>
      <c r="B64" s="1">
        <f t="shared" ca="1" si="1"/>
        <v>46068</v>
      </c>
      <c r="C64" s="1">
        <f t="shared" ca="1" si="2"/>
        <v>46077</v>
      </c>
      <c r="D64" s="1">
        <f t="shared" ca="1" si="3"/>
        <v>46076</v>
      </c>
      <c r="E64" t="str">
        <f t="shared" ca="1" si="4"/>
        <v>IKEA</v>
      </c>
      <c r="F64" t="str">
        <f t="shared" ca="1" si="5"/>
        <v>Poland</v>
      </c>
      <c r="G64" t="str">
        <f t="shared" ca="1" si="6"/>
        <v>Warsaw</v>
      </c>
      <c r="H64" t="str">
        <f t="shared" ca="1" si="7"/>
        <v>Air</v>
      </c>
      <c r="I64" t="str">
        <f t="shared" ca="1" si="8"/>
        <v>FedEx</v>
      </c>
      <c r="J64" t="s">
        <v>316</v>
      </c>
      <c r="K64">
        <f t="shared" ca="1" si="9"/>
        <v>4259</v>
      </c>
      <c r="L64">
        <f t="shared" ca="1" si="10"/>
        <v>3322.02</v>
      </c>
      <c r="M64">
        <f t="shared" ca="1" si="11"/>
        <v>170</v>
      </c>
      <c r="N64">
        <f t="shared" ca="1" si="12"/>
        <v>85</v>
      </c>
      <c r="O64">
        <f ca="1">Table2[[#This Row],[Delivery Date]]-Table2[[#This Row],[Order date]]</f>
        <v>8</v>
      </c>
      <c r="P64">
        <f ca="1">MAX(0,Table2[[#This Row],[Delivery Date]]-Table2[[#This Row],[Planned Delivery Date]])</f>
        <v>0</v>
      </c>
      <c r="Q64" t="str">
        <f ca="1">IF(Table2[[#This Row],[Delivery Date]]&lt;=Table2[[#This Row],[Planned Delivery Date]],"On Time","Delayed")</f>
        <v>On Time</v>
      </c>
      <c r="R64">
        <f ca="1">Table2[[#This Row],[Revenue]]-Table2[[#This Row],[Transport Cost]]</f>
        <v>936.98</v>
      </c>
      <c r="S64" s="4">
        <f t="shared" ca="1" si="0"/>
        <v>0.22</v>
      </c>
    </row>
    <row r="65" spans="1:19" x14ac:dyDescent="0.2">
      <c r="A65" t="s">
        <v>79</v>
      </c>
      <c r="B65" s="1">
        <f t="shared" ca="1" si="1"/>
        <v>46082</v>
      </c>
      <c r="C65" s="1">
        <f t="shared" ca="1" si="2"/>
        <v>46089</v>
      </c>
      <c r="D65" s="1">
        <f t="shared" ca="1" si="3"/>
        <v>46089</v>
      </c>
      <c r="E65" t="str">
        <f t="shared" ca="1" si="4"/>
        <v>Zara</v>
      </c>
      <c r="F65" t="str">
        <f t="shared" ca="1" si="5"/>
        <v>Italy</v>
      </c>
      <c r="G65" t="str">
        <f t="shared" ca="1" si="6"/>
        <v>Rome</v>
      </c>
      <c r="H65" t="str">
        <f t="shared" ca="1" si="7"/>
        <v>Road</v>
      </c>
      <c r="I65" t="str">
        <f t="shared" ca="1" si="8"/>
        <v>FedEx</v>
      </c>
      <c r="J65" t="s">
        <v>316</v>
      </c>
      <c r="K65">
        <f t="shared" ca="1" si="9"/>
        <v>954</v>
      </c>
      <c r="L65">
        <f t="shared" ca="1" si="10"/>
        <v>639.17999999999995</v>
      </c>
      <c r="M65">
        <f t="shared" ca="1" si="11"/>
        <v>1502</v>
      </c>
      <c r="N65">
        <f t="shared" ca="1" si="12"/>
        <v>1557</v>
      </c>
      <c r="O65">
        <f ca="1">Table2[[#This Row],[Delivery Date]]-Table2[[#This Row],[Order date]]</f>
        <v>7</v>
      </c>
      <c r="P65">
        <f ca="1">MAX(0,Table2[[#This Row],[Delivery Date]]-Table2[[#This Row],[Planned Delivery Date]])</f>
        <v>0</v>
      </c>
      <c r="Q65" t="str">
        <f ca="1">IF(Table2[[#This Row],[Delivery Date]]&lt;=Table2[[#This Row],[Planned Delivery Date]],"On Time","Delayed")</f>
        <v>On Time</v>
      </c>
      <c r="R65">
        <f ca="1">Table2[[#This Row],[Revenue]]-Table2[[#This Row],[Transport Cost]]</f>
        <v>314.82000000000005</v>
      </c>
      <c r="S65" s="4">
        <f t="shared" ca="1" si="0"/>
        <v>0.33000000000000007</v>
      </c>
    </row>
    <row r="66" spans="1:19" x14ac:dyDescent="0.2">
      <c r="A66" t="s">
        <v>80</v>
      </c>
      <c r="B66" s="1">
        <f t="shared" ca="1" si="1"/>
        <v>46054</v>
      </c>
      <c r="C66" s="1">
        <f t="shared" ca="1" si="2"/>
        <v>46063</v>
      </c>
      <c r="D66" s="1">
        <f t="shared" ca="1" si="3"/>
        <v>46065</v>
      </c>
      <c r="E66" t="str">
        <f t="shared" ca="1" si="4"/>
        <v>IKEA</v>
      </c>
      <c r="F66" t="str">
        <f t="shared" ca="1" si="5"/>
        <v>Czech Republic</v>
      </c>
      <c r="G66" t="str">
        <f t="shared" ca="1" si="6"/>
        <v>Prague</v>
      </c>
      <c r="H66" t="str">
        <f t="shared" ca="1" si="7"/>
        <v>Rail</v>
      </c>
      <c r="I66" t="str">
        <f t="shared" ca="1" si="8"/>
        <v>Kuehne+Nagel</v>
      </c>
      <c r="J66" t="s">
        <v>316</v>
      </c>
      <c r="K66">
        <f t="shared" ca="1" si="9"/>
        <v>2174</v>
      </c>
      <c r="L66">
        <f t="shared" ca="1" si="10"/>
        <v>1521.8</v>
      </c>
      <c r="M66">
        <f t="shared" ca="1" si="11"/>
        <v>4531</v>
      </c>
      <c r="N66">
        <f t="shared" ca="1" si="12"/>
        <v>545</v>
      </c>
      <c r="O66">
        <f ca="1">Table2[[#This Row],[Delivery Date]]-Table2[[#This Row],[Order date]]</f>
        <v>11</v>
      </c>
      <c r="P66">
        <f ca="1">MAX(0,Table2[[#This Row],[Delivery Date]]-Table2[[#This Row],[Planned Delivery Date]])</f>
        <v>2</v>
      </c>
      <c r="Q66" t="str">
        <f ca="1">IF(Table2[[#This Row],[Delivery Date]]&lt;=Table2[[#This Row],[Planned Delivery Date]],"On Time","Delayed")</f>
        <v>Delayed</v>
      </c>
      <c r="R66">
        <f ca="1">Table2[[#This Row],[Revenue]]-Table2[[#This Row],[Transport Cost]]</f>
        <v>652.20000000000005</v>
      </c>
      <c r="S66" s="4">
        <f t="shared" ref="S66:S129" ca="1" si="13">IFERROR(R66/K66,0)</f>
        <v>0.30000000000000004</v>
      </c>
    </row>
    <row r="67" spans="1:19" x14ac:dyDescent="0.2">
      <c r="A67" t="s">
        <v>81</v>
      </c>
      <c r="B67" s="1">
        <f t="shared" ref="B67:C130" ca="1" si="14">DATE(2026,1,1)+RANDBETWEEN(0,180)</f>
        <v>46081</v>
      </c>
      <c r="C67" s="1">
        <f t="shared" ref="C67:C130" ca="1" si="15">B67+RANDBETWEEN(2,10)</f>
        <v>46083</v>
      </c>
      <c r="D67" s="1">
        <f t="shared" ref="D67:D130" ca="1" si="16">C67+RANDBETWEEN(-1,5)</f>
        <v>46082</v>
      </c>
      <c r="E67" t="str">
        <f t="shared" ref="E67:E130" ca="1" si="17">CHOOSE(RANDBETWEEN(1,8), "IKEA", "Samsung", "Zara", "Allegro", "Bosch", "Decathlon", "H&amp;M", "Philips")</f>
        <v>H&amp;M</v>
      </c>
      <c r="F67" t="str">
        <f t="shared" ref="F67:F130" ca="1" si="18">CHOOSE(RANDBETWEEN(1,6), "Poland", "Germany", "France", "Czech Republic", "Spain", "Italy")</f>
        <v>France</v>
      </c>
      <c r="G67" t="str">
        <f t="shared" ref="G67:G130" ca="1" si="19">IF(F67="Poland",CHOOSE(RANDBETWEEN(1,3),"Warsaw","Krakow","Gdansk"),
IF(F67="Germany",CHOOSE(RANDBETWEEN(1,3),"Berlin","Hamburg","Munich"),
IF(F67="Czech Republic","Prague",
IF(F67="Netherlands","Amsterdam",
IF(F67="France",CHOOSE(RANDBETWEEN(1,2),"Paris","Lyon"),
IF(F67="Spain",CHOOSE(RANDBETWEEN(1,2),"Madrid","Barcelona"),
IF(F67="Italy",CHOOSE(RANDBETWEEN(1,2),"Rome","Milan"),"")))))))</f>
        <v>Paris</v>
      </c>
      <c r="H67" t="str">
        <f t="shared" ref="H67:H130" ca="1" si="20">CHOOSE(RANDBETWEEN(1,4), "Road", "Air", "Sea", "Rail")</f>
        <v>Road</v>
      </c>
      <c r="I67" t="str">
        <f t="shared" ref="I67:I130" ca="1" si="21">IF(H67="Sea",CHOOSE(RANDBETWEEN(1,2),"Maersk","Kuehne+Nagel"),
IF(H67="Air",CHOOSE(RANDBETWEEN(1,3),"DHL","UPS","FedEx"),
IF(H67="Rail",CHOOSE(RANDBETWEEN(1,2),"DB Schenker","Kuehne+Nagel"),
IF(H67="Road",CHOOSE(RANDBETWEEN(1,5),"DHL","DB Schenker","UPS","FedEx","GLS"),""))))</f>
        <v>DHL</v>
      </c>
      <c r="J67" t="s">
        <v>316</v>
      </c>
      <c r="K67">
        <f t="shared" ref="K67:K130" ca="1" si="22">IF(H67="Road",RANDBETWEEN(500,2500),IF(H67="Rail",RANDBETWEEN(800,3000),IF(H67="Sea",RANDBETWEEN(1500,5000),IF(H67="Air",RANDBETWEEN(2000,6000),""))))</f>
        <v>673</v>
      </c>
      <c r="L67">
        <f t="shared" ref="L67:L130" ca="1" si="23">K67*RANDBETWEEN(55,85)/100</f>
        <v>390.34</v>
      </c>
      <c r="M67">
        <f t="shared" ref="M67:M130" ca="1" si="24">IF(H67="Air",RANDBETWEEN(50,800),IF(H67="Road",RANDBETWEEN(200,5000),IF(H67="Rail",RANDBETWEEN(1000,10000),IF(H67="Sea",RANDBETWEEN(2000,15000),""))))</f>
        <v>1835</v>
      </c>
      <c r="N67">
        <f t="shared" ref="N67:N130" ca="1" si="25">IF(F67="Poland",RANDBETWEEN(50,600),IF(F67="Germany",RANDBETWEEN(500,1200),IF(F67="Czech Republic",RANDBETWEEN(500,900),IF(F67="Netherlands",RANDBETWEEN(1000,1400),IF(F67="France",RANDBETWEEN(1200,1800),IF(F67="Spain",RANDBETWEEN(2000,2600),IF(F67="Italy",RANDBETWEEN(1200,2000),"")))))))</f>
        <v>1542</v>
      </c>
      <c r="O67">
        <f ca="1">Table2[[#This Row],[Delivery Date]]-Table2[[#This Row],[Order date]]</f>
        <v>1</v>
      </c>
      <c r="P67">
        <f ca="1">MAX(0,Table2[[#This Row],[Delivery Date]]-Table2[[#This Row],[Planned Delivery Date]])</f>
        <v>0</v>
      </c>
      <c r="Q67" t="str">
        <f ca="1">IF(Table2[[#This Row],[Delivery Date]]&lt;=Table2[[#This Row],[Planned Delivery Date]],"On Time","Delayed")</f>
        <v>On Time</v>
      </c>
      <c r="R67">
        <f ca="1">Table2[[#This Row],[Revenue]]-Table2[[#This Row],[Transport Cost]]</f>
        <v>282.66000000000003</v>
      </c>
      <c r="S67" s="4">
        <f t="shared" ca="1" si="13"/>
        <v>0.42000000000000004</v>
      </c>
    </row>
    <row r="68" spans="1:19" x14ac:dyDescent="0.2">
      <c r="A68" t="s">
        <v>82</v>
      </c>
      <c r="B68" s="1">
        <f t="shared" ca="1" si="14"/>
        <v>46045</v>
      </c>
      <c r="C68" s="1">
        <f t="shared" ca="1" si="15"/>
        <v>46047</v>
      </c>
      <c r="D68" s="1">
        <f t="shared" ca="1" si="16"/>
        <v>46046</v>
      </c>
      <c r="E68" t="str">
        <f t="shared" ca="1" si="17"/>
        <v>Decathlon</v>
      </c>
      <c r="F68" t="str">
        <f t="shared" ca="1" si="18"/>
        <v>France</v>
      </c>
      <c r="G68" t="str">
        <f t="shared" ca="1" si="19"/>
        <v>Paris</v>
      </c>
      <c r="H68" t="str">
        <f t="shared" ca="1" si="20"/>
        <v>Sea</v>
      </c>
      <c r="I68" t="str">
        <f t="shared" ca="1" si="21"/>
        <v>Kuehne+Nagel</v>
      </c>
      <c r="J68" t="s">
        <v>316</v>
      </c>
      <c r="K68">
        <f t="shared" ca="1" si="22"/>
        <v>3685</v>
      </c>
      <c r="L68">
        <f t="shared" ca="1" si="23"/>
        <v>2690.05</v>
      </c>
      <c r="M68">
        <f t="shared" ca="1" si="24"/>
        <v>3284</v>
      </c>
      <c r="N68">
        <f t="shared" ca="1" si="25"/>
        <v>1680</v>
      </c>
      <c r="O68">
        <f ca="1">Table2[[#This Row],[Delivery Date]]-Table2[[#This Row],[Order date]]</f>
        <v>1</v>
      </c>
      <c r="P68">
        <f ca="1">MAX(0,Table2[[#This Row],[Delivery Date]]-Table2[[#This Row],[Planned Delivery Date]])</f>
        <v>0</v>
      </c>
      <c r="Q68" t="str">
        <f ca="1">IF(Table2[[#This Row],[Delivery Date]]&lt;=Table2[[#This Row],[Planned Delivery Date]],"On Time","Delayed")</f>
        <v>On Time</v>
      </c>
      <c r="R68">
        <f ca="1">Table2[[#This Row],[Revenue]]-Table2[[#This Row],[Transport Cost]]</f>
        <v>994.94999999999982</v>
      </c>
      <c r="S68" s="4">
        <f t="shared" ca="1" si="13"/>
        <v>0.26999999999999996</v>
      </c>
    </row>
    <row r="69" spans="1:19" x14ac:dyDescent="0.2">
      <c r="A69" t="s">
        <v>83</v>
      </c>
      <c r="B69" s="1">
        <f t="shared" ca="1" si="14"/>
        <v>46186</v>
      </c>
      <c r="C69" s="1">
        <f t="shared" ca="1" si="15"/>
        <v>46193</v>
      </c>
      <c r="D69" s="1">
        <f t="shared" ca="1" si="16"/>
        <v>46192</v>
      </c>
      <c r="E69" t="str">
        <f t="shared" ca="1" si="17"/>
        <v>Philips</v>
      </c>
      <c r="F69" t="str">
        <f t="shared" ca="1" si="18"/>
        <v>Poland</v>
      </c>
      <c r="G69" t="str">
        <f t="shared" ca="1" si="19"/>
        <v>Krakow</v>
      </c>
      <c r="H69" t="str">
        <f t="shared" ca="1" si="20"/>
        <v>Road</v>
      </c>
      <c r="I69" t="str">
        <f t="shared" ca="1" si="21"/>
        <v>GLS</v>
      </c>
      <c r="J69" t="s">
        <v>316</v>
      </c>
      <c r="K69">
        <f t="shared" ca="1" si="22"/>
        <v>2232</v>
      </c>
      <c r="L69">
        <f t="shared" ca="1" si="23"/>
        <v>1740.96</v>
      </c>
      <c r="M69">
        <f t="shared" ca="1" si="24"/>
        <v>2742</v>
      </c>
      <c r="N69">
        <f t="shared" ca="1" si="25"/>
        <v>281</v>
      </c>
      <c r="O69">
        <f ca="1">Table2[[#This Row],[Delivery Date]]-Table2[[#This Row],[Order date]]</f>
        <v>6</v>
      </c>
      <c r="P69">
        <f ca="1">MAX(0,Table2[[#This Row],[Delivery Date]]-Table2[[#This Row],[Planned Delivery Date]])</f>
        <v>0</v>
      </c>
      <c r="Q69" t="str">
        <f ca="1">IF(Table2[[#This Row],[Delivery Date]]&lt;=Table2[[#This Row],[Planned Delivery Date]],"On Time","Delayed")</f>
        <v>On Time</v>
      </c>
      <c r="R69">
        <f ca="1">Table2[[#This Row],[Revenue]]-Table2[[#This Row],[Transport Cost]]</f>
        <v>491.03999999999996</v>
      </c>
      <c r="S69" s="4">
        <f t="shared" ca="1" si="13"/>
        <v>0.21999999999999997</v>
      </c>
    </row>
    <row r="70" spans="1:19" x14ac:dyDescent="0.2">
      <c r="A70" t="s">
        <v>84</v>
      </c>
      <c r="B70" s="1">
        <f t="shared" ca="1" si="14"/>
        <v>46091</v>
      </c>
      <c r="C70" s="1">
        <f t="shared" ca="1" si="15"/>
        <v>46095</v>
      </c>
      <c r="D70" s="1">
        <f t="shared" ca="1" si="16"/>
        <v>46096</v>
      </c>
      <c r="E70" t="str">
        <f t="shared" ca="1" si="17"/>
        <v>Bosch</v>
      </c>
      <c r="F70" t="str">
        <f t="shared" ca="1" si="18"/>
        <v>Germany</v>
      </c>
      <c r="G70" t="str">
        <f t="shared" ca="1" si="19"/>
        <v>Berlin</v>
      </c>
      <c r="H70" t="str">
        <f t="shared" ca="1" si="20"/>
        <v>Air</v>
      </c>
      <c r="I70" t="str">
        <f t="shared" ca="1" si="21"/>
        <v>FedEx</v>
      </c>
      <c r="J70" t="s">
        <v>316</v>
      </c>
      <c r="K70">
        <f t="shared" ca="1" si="22"/>
        <v>5126</v>
      </c>
      <c r="L70">
        <f t="shared" ca="1" si="23"/>
        <v>2870.56</v>
      </c>
      <c r="M70">
        <f t="shared" ca="1" si="24"/>
        <v>720</v>
      </c>
      <c r="N70">
        <f t="shared" ca="1" si="25"/>
        <v>974</v>
      </c>
      <c r="O70">
        <f ca="1">Table2[[#This Row],[Delivery Date]]-Table2[[#This Row],[Order date]]</f>
        <v>5</v>
      </c>
      <c r="P70">
        <f ca="1">MAX(0,Table2[[#This Row],[Delivery Date]]-Table2[[#This Row],[Planned Delivery Date]])</f>
        <v>1</v>
      </c>
      <c r="Q70" t="str">
        <f ca="1">IF(Table2[[#This Row],[Delivery Date]]&lt;=Table2[[#This Row],[Planned Delivery Date]],"On Time","Delayed")</f>
        <v>Delayed</v>
      </c>
      <c r="R70">
        <f ca="1">Table2[[#This Row],[Revenue]]-Table2[[#This Row],[Transport Cost]]</f>
        <v>2255.44</v>
      </c>
      <c r="S70" s="4">
        <f t="shared" ca="1" si="13"/>
        <v>0.44</v>
      </c>
    </row>
    <row r="71" spans="1:19" x14ac:dyDescent="0.2">
      <c r="A71" t="s">
        <v>85</v>
      </c>
      <c r="B71" s="1">
        <f t="shared" ca="1" si="14"/>
        <v>46155</v>
      </c>
      <c r="C71" s="1">
        <f t="shared" ca="1" si="15"/>
        <v>46157</v>
      </c>
      <c r="D71" s="1">
        <f t="shared" ca="1" si="16"/>
        <v>46161</v>
      </c>
      <c r="E71" t="str">
        <f t="shared" ca="1" si="17"/>
        <v>H&amp;M</v>
      </c>
      <c r="F71" t="str">
        <f t="shared" ca="1" si="18"/>
        <v>Spain</v>
      </c>
      <c r="G71" t="str">
        <f t="shared" ca="1" si="19"/>
        <v>Barcelona</v>
      </c>
      <c r="H71" t="str">
        <f t="shared" ca="1" si="20"/>
        <v>Road</v>
      </c>
      <c r="I71" t="str">
        <f t="shared" ca="1" si="21"/>
        <v>DB Schenker</v>
      </c>
      <c r="J71" t="s">
        <v>316</v>
      </c>
      <c r="K71">
        <f t="shared" ca="1" si="22"/>
        <v>1086</v>
      </c>
      <c r="L71">
        <f t="shared" ca="1" si="23"/>
        <v>684.18</v>
      </c>
      <c r="M71">
        <f t="shared" ca="1" si="24"/>
        <v>1076</v>
      </c>
      <c r="N71">
        <f t="shared" ca="1" si="25"/>
        <v>2228</v>
      </c>
      <c r="O71">
        <f ca="1">Table2[[#This Row],[Delivery Date]]-Table2[[#This Row],[Order date]]</f>
        <v>6</v>
      </c>
      <c r="P71">
        <f ca="1">MAX(0,Table2[[#This Row],[Delivery Date]]-Table2[[#This Row],[Planned Delivery Date]])</f>
        <v>4</v>
      </c>
      <c r="Q71" t="str">
        <f ca="1">IF(Table2[[#This Row],[Delivery Date]]&lt;=Table2[[#This Row],[Planned Delivery Date]],"On Time","Delayed")</f>
        <v>Delayed</v>
      </c>
      <c r="R71">
        <f ca="1">Table2[[#This Row],[Revenue]]-Table2[[#This Row],[Transport Cost]]</f>
        <v>401.82000000000005</v>
      </c>
      <c r="S71" s="4">
        <f t="shared" ca="1" si="13"/>
        <v>0.37000000000000005</v>
      </c>
    </row>
    <row r="72" spans="1:19" x14ac:dyDescent="0.2">
      <c r="A72" t="s">
        <v>86</v>
      </c>
      <c r="B72" s="1">
        <f t="shared" ca="1" si="14"/>
        <v>46076</v>
      </c>
      <c r="C72" s="1">
        <f t="shared" ca="1" si="15"/>
        <v>46079</v>
      </c>
      <c r="D72" s="1">
        <f t="shared" ca="1" si="16"/>
        <v>46080</v>
      </c>
      <c r="E72" t="str">
        <f t="shared" ca="1" si="17"/>
        <v>Samsung</v>
      </c>
      <c r="F72" t="str">
        <f t="shared" ca="1" si="18"/>
        <v>Spain</v>
      </c>
      <c r="G72" t="str">
        <f t="shared" ca="1" si="19"/>
        <v>Barcelona</v>
      </c>
      <c r="H72" t="str">
        <f t="shared" ca="1" si="20"/>
        <v>Rail</v>
      </c>
      <c r="I72" t="str">
        <f t="shared" ca="1" si="21"/>
        <v>DB Schenker</v>
      </c>
      <c r="J72" t="s">
        <v>316</v>
      </c>
      <c r="K72">
        <f t="shared" ca="1" si="22"/>
        <v>2207</v>
      </c>
      <c r="L72">
        <f t="shared" ca="1" si="23"/>
        <v>1655.25</v>
      </c>
      <c r="M72">
        <f t="shared" ca="1" si="24"/>
        <v>7510</v>
      </c>
      <c r="N72">
        <f t="shared" ca="1" si="25"/>
        <v>2063</v>
      </c>
      <c r="O72">
        <f ca="1">Table2[[#This Row],[Delivery Date]]-Table2[[#This Row],[Order date]]</f>
        <v>4</v>
      </c>
      <c r="P72">
        <f ca="1">MAX(0,Table2[[#This Row],[Delivery Date]]-Table2[[#This Row],[Planned Delivery Date]])</f>
        <v>1</v>
      </c>
      <c r="Q72" t="str">
        <f ca="1">IF(Table2[[#This Row],[Delivery Date]]&lt;=Table2[[#This Row],[Planned Delivery Date]],"On Time","Delayed")</f>
        <v>Delayed</v>
      </c>
      <c r="R72">
        <f ca="1">Table2[[#This Row],[Revenue]]-Table2[[#This Row],[Transport Cost]]</f>
        <v>551.75</v>
      </c>
      <c r="S72" s="4">
        <f t="shared" ca="1" si="13"/>
        <v>0.25</v>
      </c>
    </row>
    <row r="73" spans="1:19" x14ac:dyDescent="0.2">
      <c r="A73" t="s">
        <v>87</v>
      </c>
      <c r="B73" s="1">
        <f t="shared" ca="1" si="14"/>
        <v>46189</v>
      </c>
      <c r="C73" s="1">
        <f t="shared" ca="1" si="15"/>
        <v>46197</v>
      </c>
      <c r="D73" s="1">
        <f t="shared" ca="1" si="16"/>
        <v>46201</v>
      </c>
      <c r="E73" t="str">
        <f t="shared" ca="1" si="17"/>
        <v>Philips</v>
      </c>
      <c r="F73" t="str">
        <f t="shared" ca="1" si="18"/>
        <v>Italy</v>
      </c>
      <c r="G73" t="str">
        <f t="shared" ca="1" si="19"/>
        <v>Milan</v>
      </c>
      <c r="H73" t="str">
        <f t="shared" ca="1" si="20"/>
        <v>Air</v>
      </c>
      <c r="I73" t="str">
        <f t="shared" ca="1" si="21"/>
        <v>DHL</v>
      </c>
      <c r="J73" t="s">
        <v>316</v>
      </c>
      <c r="K73">
        <f t="shared" ca="1" si="22"/>
        <v>5486</v>
      </c>
      <c r="L73">
        <f t="shared" ca="1" si="23"/>
        <v>4224.22</v>
      </c>
      <c r="M73">
        <f t="shared" ca="1" si="24"/>
        <v>265</v>
      </c>
      <c r="N73">
        <f t="shared" ca="1" si="25"/>
        <v>1893</v>
      </c>
      <c r="O73">
        <f ca="1">Table2[[#This Row],[Delivery Date]]-Table2[[#This Row],[Order date]]</f>
        <v>12</v>
      </c>
      <c r="P73">
        <f ca="1">MAX(0,Table2[[#This Row],[Delivery Date]]-Table2[[#This Row],[Planned Delivery Date]])</f>
        <v>4</v>
      </c>
      <c r="Q73" t="str">
        <f ca="1">IF(Table2[[#This Row],[Delivery Date]]&lt;=Table2[[#This Row],[Planned Delivery Date]],"On Time","Delayed")</f>
        <v>Delayed</v>
      </c>
      <c r="R73">
        <f ca="1">Table2[[#This Row],[Revenue]]-Table2[[#This Row],[Transport Cost]]</f>
        <v>1261.7799999999997</v>
      </c>
      <c r="S73" s="4">
        <f t="shared" ca="1" si="13"/>
        <v>0.22999999999999995</v>
      </c>
    </row>
    <row r="74" spans="1:19" x14ac:dyDescent="0.2">
      <c r="A74" t="s">
        <v>88</v>
      </c>
      <c r="B74" s="1">
        <f t="shared" ca="1" si="14"/>
        <v>46092</v>
      </c>
      <c r="C74" s="1">
        <f t="shared" ca="1" si="15"/>
        <v>46097</v>
      </c>
      <c r="D74" s="1">
        <f t="shared" ca="1" si="16"/>
        <v>46102</v>
      </c>
      <c r="E74" t="str">
        <f t="shared" ca="1" si="17"/>
        <v>Philips</v>
      </c>
      <c r="F74" t="str">
        <f t="shared" ca="1" si="18"/>
        <v>Germany</v>
      </c>
      <c r="G74" t="str">
        <f t="shared" ca="1" si="19"/>
        <v>Berlin</v>
      </c>
      <c r="H74" t="str">
        <f t="shared" ca="1" si="20"/>
        <v>Sea</v>
      </c>
      <c r="I74" t="str">
        <f t="shared" ca="1" si="21"/>
        <v>Kuehne+Nagel</v>
      </c>
      <c r="J74" t="s">
        <v>316</v>
      </c>
      <c r="K74">
        <f t="shared" ca="1" si="22"/>
        <v>1966</v>
      </c>
      <c r="L74">
        <f t="shared" ca="1" si="23"/>
        <v>1258.24</v>
      </c>
      <c r="M74">
        <f t="shared" ca="1" si="24"/>
        <v>13828</v>
      </c>
      <c r="N74">
        <f t="shared" ca="1" si="25"/>
        <v>1151</v>
      </c>
      <c r="O74">
        <f ca="1">Table2[[#This Row],[Delivery Date]]-Table2[[#This Row],[Order date]]</f>
        <v>10</v>
      </c>
      <c r="P74">
        <f ca="1">MAX(0,Table2[[#This Row],[Delivery Date]]-Table2[[#This Row],[Planned Delivery Date]])</f>
        <v>5</v>
      </c>
      <c r="Q74" t="str">
        <f ca="1">IF(Table2[[#This Row],[Delivery Date]]&lt;=Table2[[#This Row],[Planned Delivery Date]],"On Time","Delayed")</f>
        <v>Delayed</v>
      </c>
      <c r="R74">
        <f ca="1">Table2[[#This Row],[Revenue]]-Table2[[#This Row],[Transport Cost]]</f>
        <v>707.76</v>
      </c>
      <c r="S74" s="4">
        <f t="shared" ca="1" si="13"/>
        <v>0.36</v>
      </c>
    </row>
    <row r="75" spans="1:19" x14ac:dyDescent="0.2">
      <c r="A75" t="s">
        <v>89</v>
      </c>
      <c r="B75" s="1">
        <f t="shared" ca="1" si="14"/>
        <v>46194</v>
      </c>
      <c r="C75" s="1">
        <f t="shared" ca="1" si="15"/>
        <v>46198</v>
      </c>
      <c r="D75" s="1">
        <f t="shared" ca="1" si="16"/>
        <v>46201</v>
      </c>
      <c r="E75" t="str">
        <f t="shared" ca="1" si="17"/>
        <v>Decathlon</v>
      </c>
      <c r="F75" t="str">
        <f t="shared" ca="1" si="18"/>
        <v>Poland</v>
      </c>
      <c r="G75" t="str">
        <f t="shared" ca="1" si="19"/>
        <v>Krakow</v>
      </c>
      <c r="H75" t="str">
        <f t="shared" ca="1" si="20"/>
        <v>Road</v>
      </c>
      <c r="I75" t="str">
        <f t="shared" ca="1" si="21"/>
        <v>GLS</v>
      </c>
      <c r="J75" t="s">
        <v>316</v>
      </c>
      <c r="K75">
        <f t="shared" ca="1" si="22"/>
        <v>1854</v>
      </c>
      <c r="L75">
        <f t="shared" ca="1" si="23"/>
        <v>1501.74</v>
      </c>
      <c r="M75">
        <f t="shared" ca="1" si="24"/>
        <v>2047</v>
      </c>
      <c r="N75">
        <f t="shared" ca="1" si="25"/>
        <v>351</v>
      </c>
      <c r="O75">
        <f ca="1">Table2[[#This Row],[Delivery Date]]-Table2[[#This Row],[Order date]]</f>
        <v>7</v>
      </c>
      <c r="P75">
        <f ca="1">MAX(0,Table2[[#This Row],[Delivery Date]]-Table2[[#This Row],[Planned Delivery Date]])</f>
        <v>3</v>
      </c>
      <c r="Q75" t="str">
        <f ca="1">IF(Table2[[#This Row],[Delivery Date]]&lt;=Table2[[#This Row],[Planned Delivery Date]],"On Time","Delayed")</f>
        <v>Delayed</v>
      </c>
      <c r="R75">
        <f ca="1">Table2[[#This Row],[Revenue]]-Table2[[#This Row],[Transport Cost]]</f>
        <v>352.26</v>
      </c>
      <c r="S75" s="4">
        <f t="shared" ca="1" si="13"/>
        <v>0.19</v>
      </c>
    </row>
    <row r="76" spans="1:19" x14ac:dyDescent="0.2">
      <c r="A76" t="s">
        <v>90</v>
      </c>
      <c r="B76" s="1">
        <f t="shared" ca="1" si="14"/>
        <v>46027</v>
      </c>
      <c r="C76" s="1">
        <f t="shared" ca="1" si="15"/>
        <v>46037</v>
      </c>
      <c r="D76" s="1">
        <f t="shared" ca="1" si="16"/>
        <v>46041</v>
      </c>
      <c r="E76" t="str">
        <f t="shared" ca="1" si="17"/>
        <v>Allegro</v>
      </c>
      <c r="F76" t="str">
        <f t="shared" ca="1" si="18"/>
        <v>Spain</v>
      </c>
      <c r="G76" t="str">
        <f t="shared" ca="1" si="19"/>
        <v>Madrid</v>
      </c>
      <c r="H76" t="str">
        <f t="shared" ca="1" si="20"/>
        <v>Road</v>
      </c>
      <c r="I76" t="str">
        <f t="shared" ca="1" si="21"/>
        <v>UPS</v>
      </c>
      <c r="J76" t="s">
        <v>316</v>
      </c>
      <c r="K76">
        <f t="shared" ca="1" si="22"/>
        <v>1688</v>
      </c>
      <c r="L76">
        <f t="shared" ca="1" si="23"/>
        <v>1063.44</v>
      </c>
      <c r="M76">
        <f t="shared" ca="1" si="24"/>
        <v>4621</v>
      </c>
      <c r="N76">
        <f t="shared" ca="1" si="25"/>
        <v>2566</v>
      </c>
      <c r="O76">
        <f ca="1">Table2[[#This Row],[Delivery Date]]-Table2[[#This Row],[Order date]]</f>
        <v>14</v>
      </c>
      <c r="P76">
        <f ca="1">MAX(0,Table2[[#This Row],[Delivery Date]]-Table2[[#This Row],[Planned Delivery Date]])</f>
        <v>4</v>
      </c>
      <c r="Q76" t="str">
        <f ca="1">IF(Table2[[#This Row],[Delivery Date]]&lt;=Table2[[#This Row],[Planned Delivery Date]],"On Time","Delayed")</f>
        <v>Delayed</v>
      </c>
      <c r="R76">
        <f ca="1">Table2[[#This Row],[Revenue]]-Table2[[#This Row],[Transport Cost]]</f>
        <v>624.55999999999995</v>
      </c>
      <c r="S76" s="4">
        <f t="shared" ca="1" si="13"/>
        <v>0.36999999999999994</v>
      </c>
    </row>
    <row r="77" spans="1:19" x14ac:dyDescent="0.2">
      <c r="A77" t="s">
        <v>91</v>
      </c>
      <c r="B77" s="1">
        <f t="shared" ca="1" si="14"/>
        <v>46026</v>
      </c>
      <c r="C77" s="1">
        <f t="shared" ca="1" si="15"/>
        <v>46029</v>
      </c>
      <c r="D77" s="1">
        <f t="shared" ca="1" si="16"/>
        <v>46033</v>
      </c>
      <c r="E77" t="str">
        <f t="shared" ca="1" si="17"/>
        <v>Decathlon</v>
      </c>
      <c r="F77" t="str">
        <f t="shared" ca="1" si="18"/>
        <v>Czech Republic</v>
      </c>
      <c r="G77" t="str">
        <f t="shared" ca="1" si="19"/>
        <v>Prague</v>
      </c>
      <c r="H77" t="str">
        <f t="shared" ca="1" si="20"/>
        <v>Air</v>
      </c>
      <c r="I77" t="str">
        <f t="shared" ca="1" si="21"/>
        <v>UPS</v>
      </c>
      <c r="J77" t="s">
        <v>316</v>
      </c>
      <c r="K77">
        <f t="shared" ca="1" si="22"/>
        <v>5884</v>
      </c>
      <c r="L77">
        <f t="shared" ca="1" si="23"/>
        <v>3824.6</v>
      </c>
      <c r="M77">
        <f t="shared" ca="1" si="24"/>
        <v>249</v>
      </c>
      <c r="N77">
        <f t="shared" ca="1" si="25"/>
        <v>759</v>
      </c>
      <c r="O77">
        <f ca="1">Table2[[#This Row],[Delivery Date]]-Table2[[#This Row],[Order date]]</f>
        <v>7</v>
      </c>
      <c r="P77">
        <f ca="1">MAX(0,Table2[[#This Row],[Delivery Date]]-Table2[[#This Row],[Planned Delivery Date]])</f>
        <v>4</v>
      </c>
      <c r="Q77" t="str">
        <f ca="1">IF(Table2[[#This Row],[Delivery Date]]&lt;=Table2[[#This Row],[Planned Delivery Date]],"On Time","Delayed")</f>
        <v>Delayed</v>
      </c>
      <c r="R77">
        <f ca="1">Table2[[#This Row],[Revenue]]-Table2[[#This Row],[Transport Cost]]</f>
        <v>2059.4</v>
      </c>
      <c r="S77" s="4">
        <f t="shared" ca="1" si="13"/>
        <v>0.35000000000000003</v>
      </c>
    </row>
    <row r="78" spans="1:19" x14ac:dyDescent="0.2">
      <c r="A78" t="s">
        <v>92</v>
      </c>
      <c r="B78" s="1">
        <f t="shared" ca="1" si="14"/>
        <v>46127</v>
      </c>
      <c r="C78" s="1">
        <f t="shared" ca="1" si="15"/>
        <v>46129</v>
      </c>
      <c r="D78" s="1">
        <f t="shared" ca="1" si="16"/>
        <v>46128</v>
      </c>
      <c r="E78" t="str">
        <f t="shared" ca="1" si="17"/>
        <v>Decathlon</v>
      </c>
      <c r="F78" t="str">
        <f t="shared" ca="1" si="18"/>
        <v>Czech Republic</v>
      </c>
      <c r="G78" t="str">
        <f t="shared" ca="1" si="19"/>
        <v>Prague</v>
      </c>
      <c r="H78" t="str">
        <f t="shared" ca="1" si="20"/>
        <v>Road</v>
      </c>
      <c r="I78" t="str">
        <f t="shared" ca="1" si="21"/>
        <v>UPS</v>
      </c>
      <c r="J78" t="s">
        <v>316</v>
      </c>
      <c r="K78">
        <f t="shared" ca="1" si="22"/>
        <v>2259</v>
      </c>
      <c r="L78">
        <f t="shared" ca="1" si="23"/>
        <v>1423.17</v>
      </c>
      <c r="M78">
        <f t="shared" ca="1" si="24"/>
        <v>3435</v>
      </c>
      <c r="N78">
        <f t="shared" ca="1" si="25"/>
        <v>715</v>
      </c>
      <c r="O78">
        <f ca="1">Table2[[#This Row],[Delivery Date]]-Table2[[#This Row],[Order date]]</f>
        <v>1</v>
      </c>
      <c r="P78">
        <f ca="1">MAX(0,Table2[[#This Row],[Delivery Date]]-Table2[[#This Row],[Planned Delivery Date]])</f>
        <v>0</v>
      </c>
      <c r="Q78" t="str">
        <f ca="1">IF(Table2[[#This Row],[Delivery Date]]&lt;=Table2[[#This Row],[Planned Delivery Date]],"On Time","Delayed")</f>
        <v>On Time</v>
      </c>
      <c r="R78">
        <f ca="1">Table2[[#This Row],[Revenue]]-Table2[[#This Row],[Transport Cost]]</f>
        <v>835.82999999999993</v>
      </c>
      <c r="S78" s="4">
        <f t="shared" ca="1" si="13"/>
        <v>0.36999999999999994</v>
      </c>
    </row>
    <row r="79" spans="1:19" x14ac:dyDescent="0.2">
      <c r="A79" t="s">
        <v>93</v>
      </c>
      <c r="B79" s="1">
        <f t="shared" ca="1" si="14"/>
        <v>46117</v>
      </c>
      <c r="C79" s="1">
        <f t="shared" ca="1" si="15"/>
        <v>46126</v>
      </c>
      <c r="D79" s="1">
        <f t="shared" ca="1" si="16"/>
        <v>46126</v>
      </c>
      <c r="E79" t="str">
        <f t="shared" ca="1" si="17"/>
        <v>Allegro</v>
      </c>
      <c r="F79" t="str">
        <f t="shared" ca="1" si="18"/>
        <v>Italy</v>
      </c>
      <c r="G79" t="str">
        <f t="shared" ca="1" si="19"/>
        <v>Rome</v>
      </c>
      <c r="H79" t="str">
        <f t="shared" ca="1" si="20"/>
        <v>Road</v>
      </c>
      <c r="I79" t="str">
        <f t="shared" ca="1" si="21"/>
        <v>GLS</v>
      </c>
      <c r="J79" t="s">
        <v>316</v>
      </c>
      <c r="K79">
        <f t="shared" ca="1" si="22"/>
        <v>930</v>
      </c>
      <c r="L79">
        <f t="shared" ca="1" si="23"/>
        <v>790.5</v>
      </c>
      <c r="M79">
        <f t="shared" ca="1" si="24"/>
        <v>892</v>
      </c>
      <c r="N79">
        <f t="shared" ca="1" si="25"/>
        <v>1275</v>
      </c>
      <c r="O79">
        <f ca="1">Table2[[#This Row],[Delivery Date]]-Table2[[#This Row],[Order date]]</f>
        <v>9</v>
      </c>
      <c r="P79">
        <f ca="1">MAX(0,Table2[[#This Row],[Delivery Date]]-Table2[[#This Row],[Planned Delivery Date]])</f>
        <v>0</v>
      </c>
      <c r="Q79" t="str">
        <f ca="1">IF(Table2[[#This Row],[Delivery Date]]&lt;=Table2[[#This Row],[Planned Delivery Date]],"On Time","Delayed")</f>
        <v>On Time</v>
      </c>
      <c r="R79">
        <f ca="1">Table2[[#This Row],[Revenue]]-Table2[[#This Row],[Transport Cost]]</f>
        <v>139.5</v>
      </c>
      <c r="S79" s="4">
        <f t="shared" ca="1" si="13"/>
        <v>0.15</v>
      </c>
    </row>
    <row r="80" spans="1:19" x14ac:dyDescent="0.2">
      <c r="A80" t="s">
        <v>94</v>
      </c>
      <c r="B80" s="1">
        <f t="shared" ca="1" si="14"/>
        <v>46179</v>
      </c>
      <c r="C80" s="1">
        <f t="shared" ca="1" si="15"/>
        <v>46184</v>
      </c>
      <c r="D80" s="1">
        <f t="shared" ca="1" si="16"/>
        <v>46188</v>
      </c>
      <c r="E80" t="str">
        <f t="shared" ca="1" si="17"/>
        <v>Zara</v>
      </c>
      <c r="F80" t="str">
        <f t="shared" ca="1" si="18"/>
        <v>Spain</v>
      </c>
      <c r="G80" t="str">
        <f t="shared" ca="1" si="19"/>
        <v>Madrid</v>
      </c>
      <c r="H80" t="str">
        <f t="shared" ca="1" si="20"/>
        <v>Road</v>
      </c>
      <c r="I80" t="str">
        <f t="shared" ca="1" si="21"/>
        <v>GLS</v>
      </c>
      <c r="J80" t="s">
        <v>316</v>
      </c>
      <c r="K80">
        <f t="shared" ca="1" si="22"/>
        <v>2079</v>
      </c>
      <c r="L80">
        <f t="shared" ca="1" si="23"/>
        <v>1559.25</v>
      </c>
      <c r="M80">
        <f t="shared" ca="1" si="24"/>
        <v>3723</v>
      </c>
      <c r="N80">
        <f t="shared" ca="1" si="25"/>
        <v>2222</v>
      </c>
      <c r="O80">
        <f ca="1">Table2[[#This Row],[Delivery Date]]-Table2[[#This Row],[Order date]]</f>
        <v>9</v>
      </c>
      <c r="P80">
        <f ca="1">MAX(0,Table2[[#This Row],[Delivery Date]]-Table2[[#This Row],[Planned Delivery Date]])</f>
        <v>4</v>
      </c>
      <c r="Q80" t="str">
        <f ca="1">IF(Table2[[#This Row],[Delivery Date]]&lt;=Table2[[#This Row],[Planned Delivery Date]],"On Time","Delayed")</f>
        <v>Delayed</v>
      </c>
      <c r="R80">
        <f ca="1">Table2[[#This Row],[Revenue]]-Table2[[#This Row],[Transport Cost]]</f>
        <v>519.75</v>
      </c>
      <c r="S80" s="4">
        <f t="shared" ca="1" si="13"/>
        <v>0.25</v>
      </c>
    </row>
    <row r="81" spans="1:19" x14ac:dyDescent="0.2">
      <c r="A81" t="s">
        <v>95</v>
      </c>
      <c r="B81" s="1">
        <f t="shared" ca="1" si="14"/>
        <v>46198</v>
      </c>
      <c r="C81" s="1">
        <f t="shared" ca="1" si="15"/>
        <v>46203</v>
      </c>
      <c r="D81" s="1">
        <f t="shared" ca="1" si="16"/>
        <v>46203</v>
      </c>
      <c r="E81" t="str">
        <f t="shared" ca="1" si="17"/>
        <v>Philips</v>
      </c>
      <c r="F81" t="str">
        <f t="shared" ca="1" si="18"/>
        <v>Czech Republic</v>
      </c>
      <c r="G81" t="str">
        <f t="shared" ca="1" si="19"/>
        <v>Prague</v>
      </c>
      <c r="H81" t="str">
        <f t="shared" ca="1" si="20"/>
        <v>Air</v>
      </c>
      <c r="I81" t="str">
        <f t="shared" ca="1" si="21"/>
        <v>FedEx</v>
      </c>
      <c r="J81" t="s">
        <v>316</v>
      </c>
      <c r="K81">
        <f t="shared" ca="1" si="22"/>
        <v>2324</v>
      </c>
      <c r="L81">
        <f t="shared" ca="1" si="23"/>
        <v>1278.2</v>
      </c>
      <c r="M81">
        <f t="shared" ca="1" si="24"/>
        <v>545</v>
      </c>
      <c r="N81">
        <f t="shared" ca="1" si="25"/>
        <v>710</v>
      </c>
      <c r="O81">
        <f ca="1">Table2[[#This Row],[Delivery Date]]-Table2[[#This Row],[Order date]]</f>
        <v>5</v>
      </c>
      <c r="P81">
        <f ca="1">MAX(0,Table2[[#This Row],[Delivery Date]]-Table2[[#This Row],[Planned Delivery Date]])</f>
        <v>0</v>
      </c>
      <c r="Q81" t="str">
        <f ca="1">IF(Table2[[#This Row],[Delivery Date]]&lt;=Table2[[#This Row],[Planned Delivery Date]],"On Time","Delayed")</f>
        <v>On Time</v>
      </c>
      <c r="R81">
        <f ca="1">Table2[[#This Row],[Revenue]]-Table2[[#This Row],[Transport Cost]]</f>
        <v>1045.8</v>
      </c>
      <c r="S81" s="4">
        <f t="shared" ca="1" si="13"/>
        <v>0.44999999999999996</v>
      </c>
    </row>
    <row r="82" spans="1:19" x14ac:dyDescent="0.2">
      <c r="A82" t="s">
        <v>96</v>
      </c>
      <c r="B82" s="1">
        <f t="shared" ca="1" si="14"/>
        <v>46037</v>
      </c>
      <c r="C82" s="1">
        <f t="shared" ca="1" si="15"/>
        <v>46042</v>
      </c>
      <c r="D82" s="1">
        <f t="shared" ca="1" si="16"/>
        <v>46043</v>
      </c>
      <c r="E82" t="str">
        <f t="shared" ca="1" si="17"/>
        <v>H&amp;M</v>
      </c>
      <c r="F82" t="str">
        <f t="shared" ca="1" si="18"/>
        <v>Italy</v>
      </c>
      <c r="G82" t="str">
        <f t="shared" ca="1" si="19"/>
        <v>Milan</v>
      </c>
      <c r="H82" t="str">
        <f t="shared" ca="1" si="20"/>
        <v>Sea</v>
      </c>
      <c r="I82" t="str">
        <f t="shared" ca="1" si="21"/>
        <v>Maersk</v>
      </c>
      <c r="J82" t="s">
        <v>316</v>
      </c>
      <c r="K82">
        <f t="shared" ca="1" si="22"/>
        <v>2617</v>
      </c>
      <c r="L82">
        <f t="shared" ca="1" si="23"/>
        <v>1674.88</v>
      </c>
      <c r="M82">
        <f t="shared" ca="1" si="24"/>
        <v>2098</v>
      </c>
      <c r="N82">
        <f t="shared" ca="1" si="25"/>
        <v>1713</v>
      </c>
      <c r="O82">
        <f ca="1">Table2[[#This Row],[Delivery Date]]-Table2[[#This Row],[Order date]]</f>
        <v>6</v>
      </c>
      <c r="P82">
        <f ca="1">MAX(0,Table2[[#This Row],[Delivery Date]]-Table2[[#This Row],[Planned Delivery Date]])</f>
        <v>1</v>
      </c>
      <c r="Q82" t="str">
        <f ca="1">IF(Table2[[#This Row],[Delivery Date]]&lt;=Table2[[#This Row],[Planned Delivery Date]],"On Time","Delayed")</f>
        <v>Delayed</v>
      </c>
      <c r="R82">
        <f ca="1">Table2[[#This Row],[Revenue]]-Table2[[#This Row],[Transport Cost]]</f>
        <v>942.11999999999989</v>
      </c>
      <c r="S82" s="4">
        <f t="shared" ca="1" si="13"/>
        <v>0.35999999999999993</v>
      </c>
    </row>
    <row r="83" spans="1:19" x14ac:dyDescent="0.2">
      <c r="A83" t="s">
        <v>97</v>
      </c>
      <c r="B83" s="1">
        <f t="shared" ca="1" si="14"/>
        <v>46098</v>
      </c>
      <c r="C83" s="1">
        <f t="shared" ca="1" si="15"/>
        <v>46108</v>
      </c>
      <c r="D83" s="1">
        <f t="shared" ca="1" si="16"/>
        <v>46108</v>
      </c>
      <c r="E83" t="str">
        <f t="shared" ca="1" si="17"/>
        <v>Zara</v>
      </c>
      <c r="F83" t="str">
        <f t="shared" ca="1" si="18"/>
        <v>Italy</v>
      </c>
      <c r="G83" t="str">
        <f t="shared" ca="1" si="19"/>
        <v>Milan</v>
      </c>
      <c r="H83" t="str">
        <f t="shared" ca="1" si="20"/>
        <v>Road</v>
      </c>
      <c r="I83" t="str">
        <f t="shared" ca="1" si="21"/>
        <v>UPS</v>
      </c>
      <c r="J83" t="s">
        <v>316</v>
      </c>
      <c r="K83">
        <f t="shared" ca="1" si="22"/>
        <v>1747</v>
      </c>
      <c r="L83">
        <f t="shared" ca="1" si="23"/>
        <v>1187.96</v>
      </c>
      <c r="M83">
        <f t="shared" ca="1" si="24"/>
        <v>4442</v>
      </c>
      <c r="N83">
        <f t="shared" ca="1" si="25"/>
        <v>1554</v>
      </c>
      <c r="O83">
        <f ca="1">Table2[[#This Row],[Delivery Date]]-Table2[[#This Row],[Order date]]</f>
        <v>10</v>
      </c>
      <c r="P83">
        <f ca="1">MAX(0,Table2[[#This Row],[Delivery Date]]-Table2[[#This Row],[Planned Delivery Date]])</f>
        <v>0</v>
      </c>
      <c r="Q83" t="str">
        <f ca="1">IF(Table2[[#This Row],[Delivery Date]]&lt;=Table2[[#This Row],[Planned Delivery Date]],"On Time","Delayed")</f>
        <v>On Time</v>
      </c>
      <c r="R83">
        <f ca="1">Table2[[#This Row],[Revenue]]-Table2[[#This Row],[Transport Cost]]</f>
        <v>559.04</v>
      </c>
      <c r="S83" s="4">
        <f t="shared" ca="1" si="13"/>
        <v>0.32</v>
      </c>
    </row>
    <row r="84" spans="1:19" x14ac:dyDescent="0.2">
      <c r="A84" t="s">
        <v>98</v>
      </c>
      <c r="B84" s="1">
        <f t="shared" ca="1" si="14"/>
        <v>46085</v>
      </c>
      <c r="C84" s="1">
        <f t="shared" ca="1" si="15"/>
        <v>46087</v>
      </c>
      <c r="D84" s="1">
        <f t="shared" ca="1" si="16"/>
        <v>46087</v>
      </c>
      <c r="E84" t="str">
        <f t="shared" ca="1" si="17"/>
        <v>IKEA</v>
      </c>
      <c r="F84" t="str">
        <f t="shared" ca="1" si="18"/>
        <v>Germany</v>
      </c>
      <c r="G84" t="str">
        <f t="shared" ca="1" si="19"/>
        <v>Hamburg</v>
      </c>
      <c r="H84" t="str">
        <f t="shared" ca="1" si="20"/>
        <v>Road</v>
      </c>
      <c r="I84" t="str">
        <f t="shared" ca="1" si="21"/>
        <v>GLS</v>
      </c>
      <c r="J84" t="s">
        <v>316</v>
      </c>
      <c r="K84">
        <f t="shared" ca="1" si="22"/>
        <v>1947</v>
      </c>
      <c r="L84">
        <f t="shared" ca="1" si="23"/>
        <v>1265.55</v>
      </c>
      <c r="M84">
        <f t="shared" ca="1" si="24"/>
        <v>335</v>
      </c>
      <c r="N84">
        <f t="shared" ca="1" si="25"/>
        <v>1156</v>
      </c>
      <c r="O84">
        <f ca="1">Table2[[#This Row],[Delivery Date]]-Table2[[#This Row],[Order date]]</f>
        <v>2</v>
      </c>
      <c r="P84">
        <f ca="1">MAX(0,Table2[[#This Row],[Delivery Date]]-Table2[[#This Row],[Planned Delivery Date]])</f>
        <v>0</v>
      </c>
      <c r="Q84" t="str">
        <f ca="1">IF(Table2[[#This Row],[Delivery Date]]&lt;=Table2[[#This Row],[Planned Delivery Date]],"On Time","Delayed")</f>
        <v>On Time</v>
      </c>
      <c r="R84">
        <f ca="1">Table2[[#This Row],[Revenue]]-Table2[[#This Row],[Transport Cost]]</f>
        <v>681.45</v>
      </c>
      <c r="S84" s="4">
        <f t="shared" ca="1" si="13"/>
        <v>0.35000000000000003</v>
      </c>
    </row>
    <row r="85" spans="1:19" x14ac:dyDescent="0.2">
      <c r="A85" t="s">
        <v>99</v>
      </c>
      <c r="B85" s="1">
        <f t="shared" ca="1" si="14"/>
        <v>46197</v>
      </c>
      <c r="C85" s="1">
        <f t="shared" ca="1" si="15"/>
        <v>46207</v>
      </c>
      <c r="D85" s="1">
        <f t="shared" ca="1" si="16"/>
        <v>46207</v>
      </c>
      <c r="E85" t="str">
        <f t="shared" ca="1" si="17"/>
        <v>Samsung</v>
      </c>
      <c r="F85" t="str">
        <f t="shared" ca="1" si="18"/>
        <v>Germany</v>
      </c>
      <c r="G85" t="str">
        <f t="shared" ca="1" si="19"/>
        <v>Munich</v>
      </c>
      <c r="H85" t="str">
        <f t="shared" ca="1" si="20"/>
        <v>Road</v>
      </c>
      <c r="I85" t="str">
        <f t="shared" ca="1" si="21"/>
        <v>DB Schenker</v>
      </c>
      <c r="J85" t="s">
        <v>316</v>
      </c>
      <c r="K85">
        <f t="shared" ca="1" si="22"/>
        <v>1921</v>
      </c>
      <c r="L85">
        <f t="shared" ca="1" si="23"/>
        <v>1056.55</v>
      </c>
      <c r="M85">
        <f t="shared" ca="1" si="24"/>
        <v>3908</v>
      </c>
      <c r="N85">
        <f t="shared" ca="1" si="25"/>
        <v>636</v>
      </c>
      <c r="O85">
        <f ca="1">Table2[[#This Row],[Delivery Date]]-Table2[[#This Row],[Order date]]</f>
        <v>10</v>
      </c>
      <c r="P85">
        <f ca="1">MAX(0,Table2[[#This Row],[Delivery Date]]-Table2[[#This Row],[Planned Delivery Date]])</f>
        <v>0</v>
      </c>
      <c r="Q85" t="str">
        <f ca="1">IF(Table2[[#This Row],[Delivery Date]]&lt;=Table2[[#This Row],[Planned Delivery Date]],"On Time","Delayed")</f>
        <v>On Time</v>
      </c>
      <c r="R85">
        <f ca="1">Table2[[#This Row],[Revenue]]-Table2[[#This Row],[Transport Cost]]</f>
        <v>864.45</v>
      </c>
      <c r="S85" s="4">
        <f t="shared" ca="1" si="13"/>
        <v>0.45</v>
      </c>
    </row>
    <row r="86" spans="1:19" x14ac:dyDescent="0.2">
      <c r="A86" t="s">
        <v>100</v>
      </c>
      <c r="B86" s="1">
        <f t="shared" ca="1" si="14"/>
        <v>46026</v>
      </c>
      <c r="C86" s="1">
        <f t="shared" ca="1" si="15"/>
        <v>46034</v>
      </c>
      <c r="D86" s="1">
        <f t="shared" ca="1" si="16"/>
        <v>46039</v>
      </c>
      <c r="E86" t="str">
        <f t="shared" ca="1" si="17"/>
        <v>Philips</v>
      </c>
      <c r="F86" t="str">
        <f t="shared" ca="1" si="18"/>
        <v>Italy</v>
      </c>
      <c r="G86" t="str">
        <f t="shared" ca="1" si="19"/>
        <v>Milan</v>
      </c>
      <c r="H86" t="str">
        <f t="shared" ca="1" si="20"/>
        <v>Rail</v>
      </c>
      <c r="I86" t="str">
        <f t="shared" ca="1" si="21"/>
        <v>Kuehne+Nagel</v>
      </c>
      <c r="J86" t="s">
        <v>316</v>
      </c>
      <c r="K86">
        <f t="shared" ca="1" si="22"/>
        <v>2997</v>
      </c>
      <c r="L86">
        <f t="shared" ca="1" si="23"/>
        <v>1978.02</v>
      </c>
      <c r="M86">
        <f t="shared" ca="1" si="24"/>
        <v>3719</v>
      </c>
      <c r="N86">
        <f t="shared" ca="1" si="25"/>
        <v>1494</v>
      </c>
      <c r="O86">
        <f ca="1">Table2[[#This Row],[Delivery Date]]-Table2[[#This Row],[Order date]]</f>
        <v>13</v>
      </c>
      <c r="P86">
        <f ca="1">MAX(0,Table2[[#This Row],[Delivery Date]]-Table2[[#This Row],[Planned Delivery Date]])</f>
        <v>5</v>
      </c>
      <c r="Q86" t="str">
        <f ca="1">IF(Table2[[#This Row],[Delivery Date]]&lt;=Table2[[#This Row],[Planned Delivery Date]],"On Time","Delayed")</f>
        <v>Delayed</v>
      </c>
      <c r="R86">
        <f ca="1">Table2[[#This Row],[Revenue]]-Table2[[#This Row],[Transport Cost]]</f>
        <v>1018.98</v>
      </c>
      <c r="S86" s="4">
        <f t="shared" ca="1" si="13"/>
        <v>0.34</v>
      </c>
    </row>
    <row r="87" spans="1:19" x14ac:dyDescent="0.2">
      <c r="A87" t="s">
        <v>101</v>
      </c>
      <c r="B87" s="1">
        <f t="shared" ca="1" si="14"/>
        <v>46033</v>
      </c>
      <c r="C87" s="1">
        <f t="shared" ca="1" si="15"/>
        <v>46042</v>
      </c>
      <c r="D87" s="1">
        <f t="shared" ca="1" si="16"/>
        <v>46044</v>
      </c>
      <c r="E87" t="str">
        <f t="shared" ca="1" si="17"/>
        <v>Decathlon</v>
      </c>
      <c r="F87" t="str">
        <f t="shared" ca="1" si="18"/>
        <v>Poland</v>
      </c>
      <c r="G87" t="str">
        <f t="shared" ca="1" si="19"/>
        <v>Gdansk</v>
      </c>
      <c r="H87" t="str">
        <f t="shared" ca="1" si="20"/>
        <v>Air</v>
      </c>
      <c r="I87" t="str">
        <f t="shared" ca="1" si="21"/>
        <v>UPS</v>
      </c>
      <c r="J87" t="s">
        <v>316</v>
      </c>
      <c r="K87">
        <f t="shared" ca="1" si="22"/>
        <v>5385</v>
      </c>
      <c r="L87">
        <f t="shared" ca="1" si="23"/>
        <v>4146.45</v>
      </c>
      <c r="M87">
        <f t="shared" ca="1" si="24"/>
        <v>408</v>
      </c>
      <c r="N87">
        <f t="shared" ca="1" si="25"/>
        <v>509</v>
      </c>
      <c r="O87">
        <f ca="1">Table2[[#This Row],[Delivery Date]]-Table2[[#This Row],[Order date]]</f>
        <v>11</v>
      </c>
      <c r="P87">
        <f ca="1">MAX(0,Table2[[#This Row],[Delivery Date]]-Table2[[#This Row],[Planned Delivery Date]])</f>
        <v>2</v>
      </c>
      <c r="Q87" t="str">
        <f ca="1">IF(Table2[[#This Row],[Delivery Date]]&lt;=Table2[[#This Row],[Planned Delivery Date]],"On Time","Delayed")</f>
        <v>Delayed</v>
      </c>
      <c r="R87">
        <f ca="1">Table2[[#This Row],[Revenue]]-Table2[[#This Row],[Transport Cost]]</f>
        <v>1238.5500000000002</v>
      </c>
      <c r="S87" s="4">
        <f t="shared" ca="1" si="13"/>
        <v>0.23000000000000004</v>
      </c>
    </row>
    <row r="88" spans="1:19" x14ac:dyDescent="0.2">
      <c r="A88" t="s">
        <v>102</v>
      </c>
      <c r="B88" s="1">
        <f t="shared" ca="1" si="14"/>
        <v>46088</v>
      </c>
      <c r="C88" s="1">
        <f t="shared" ca="1" si="15"/>
        <v>46097</v>
      </c>
      <c r="D88" s="1">
        <f t="shared" ca="1" si="16"/>
        <v>46097</v>
      </c>
      <c r="E88" t="str">
        <f t="shared" ca="1" si="17"/>
        <v>Zara</v>
      </c>
      <c r="F88" t="str">
        <f t="shared" ca="1" si="18"/>
        <v>France</v>
      </c>
      <c r="G88" t="str">
        <f t="shared" ca="1" si="19"/>
        <v>Lyon</v>
      </c>
      <c r="H88" t="str">
        <f t="shared" ca="1" si="20"/>
        <v>Air</v>
      </c>
      <c r="I88" t="str">
        <f t="shared" ca="1" si="21"/>
        <v>FedEx</v>
      </c>
      <c r="J88" t="s">
        <v>316</v>
      </c>
      <c r="K88">
        <f t="shared" ca="1" si="22"/>
        <v>4126</v>
      </c>
      <c r="L88">
        <f t="shared" ca="1" si="23"/>
        <v>2599.38</v>
      </c>
      <c r="M88">
        <f t="shared" ca="1" si="24"/>
        <v>565</v>
      </c>
      <c r="N88">
        <f t="shared" ca="1" si="25"/>
        <v>1599</v>
      </c>
      <c r="O88">
        <f ca="1">Table2[[#This Row],[Delivery Date]]-Table2[[#This Row],[Order date]]</f>
        <v>9</v>
      </c>
      <c r="P88">
        <f ca="1">MAX(0,Table2[[#This Row],[Delivery Date]]-Table2[[#This Row],[Planned Delivery Date]])</f>
        <v>0</v>
      </c>
      <c r="Q88" t="str">
        <f ca="1">IF(Table2[[#This Row],[Delivery Date]]&lt;=Table2[[#This Row],[Planned Delivery Date]],"On Time","Delayed")</f>
        <v>On Time</v>
      </c>
      <c r="R88">
        <f ca="1">Table2[[#This Row],[Revenue]]-Table2[[#This Row],[Transport Cost]]</f>
        <v>1526.62</v>
      </c>
      <c r="S88" s="4">
        <f t="shared" ca="1" si="13"/>
        <v>0.37</v>
      </c>
    </row>
    <row r="89" spans="1:19" x14ac:dyDescent="0.2">
      <c r="A89" t="s">
        <v>103</v>
      </c>
      <c r="B89" s="1">
        <f t="shared" ca="1" si="14"/>
        <v>46185</v>
      </c>
      <c r="C89" s="1">
        <f t="shared" ca="1" si="15"/>
        <v>46190</v>
      </c>
      <c r="D89" s="1">
        <f t="shared" ca="1" si="16"/>
        <v>46192</v>
      </c>
      <c r="E89" t="str">
        <f t="shared" ca="1" si="17"/>
        <v>IKEA</v>
      </c>
      <c r="F89" t="str">
        <f t="shared" ca="1" si="18"/>
        <v>Spain</v>
      </c>
      <c r="G89" t="str">
        <f t="shared" ca="1" si="19"/>
        <v>Barcelona</v>
      </c>
      <c r="H89" t="str">
        <f t="shared" ca="1" si="20"/>
        <v>Sea</v>
      </c>
      <c r="I89" t="str">
        <f t="shared" ca="1" si="21"/>
        <v>Maersk</v>
      </c>
      <c r="J89" t="s">
        <v>316</v>
      </c>
      <c r="K89">
        <f t="shared" ca="1" si="22"/>
        <v>3889</v>
      </c>
      <c r="L89">
        <f t="shared" ca="1" si="23"/>
        <v>3150.09</v>
      </c>
      <c r="M89">
        <f t="shared" ca="1" si="24"/>
        <v>10146</v>
      </c>
      <c r="N89">
        <f t="shared" ca="1" si="25"/>
        <v>2558</v>
      </c>
      <c r="O89">
        <f ca="1">Table2[[#This Row],[Delivery Date]]-Table2[[#This Row],[Order date]]</f>
        <v>7</v>
      </c>
      <c r="P89">
        <f ca="1">MAX(0,Table2[[#This Row],[Delivery Date]]-Table2[[#This Row],[Planned Delivery Date]])</f>
        <v>2</v>
      </c>
      <c r="Q89" t="str">
        <f ca="1">IF(Table2[[#This Row],[Delivery Date]]&lt;=Table2[[#This Row],[Planned Delivery Date]],"On Time","Delayed")</f>
        <v>Delayed</v>
      </c>
      <c r="R89">
        <f ca="1">Table2[[#This Row],[Revenue]]-Table2[[#This Row],[Transport Cost]]</f>
        <v>738.90999999999985</v>
      </c>
      <c r="S89" s="4">
        <f t="shared" ca="1" si="13"/>
        <v>0.18999999999999997</v>
      </c>
    </row>
    <row r="90" spans="1:19" x14ac:dyDescent="0.2">
      <c r="A90" t="s">
        <v>104</v>
      </c>
      <c r="B90" s="1">
        <f t="shared" ca="1" si="14"/>
        <v>46025</v>
      </c>
      <c r="C90" s="1">
        <f t="shared" ca="1" si="15"/>
        <v>46034</v>
      </c>
      <c r="D90" s="1">
        <f t="shared" ca="1" si="16"/>
        <v>46038</v>
      </c>
      <c r="E90" t="str">
        <f t="shared" ca="1" si="17"/>
        <v>Bosch</v>
      </c>
      <c r="F90" t="str">
        <f t="shared" ca="1" si="18"/>
        <v>France</v>
      </c>
      <c r="G90" t="str">
        <f t="shared" ca="1" si="19"/>
        <v>Paris</v>
      </c>
      <c r="H90" t="str">
        <f t="shared" ca="1" si="20"/>
        <v>Rail</v>
      </c>
      <c r="I90" t="str">
        <f t="shared" ca="1" si="21"/>
        <v>DB Schenker</v>
      </c>
      <c r="J90" t="s">
        <v>316</v>
      </c>
      <c r="K90">
        <f t="shared" ca="1" si="22"/>
        <v>2443</v>
      </c>
      <c r="L90">
        <f t="shared" ca="1" si="23"/>
        <v>1368.08</v>
      </c>
      <c r="M90">
        <f t="shared" ca="1" si="24"/>
        <v>7511</v>
      </c>
      <c r="N90">
        <f t="shared" ca="1" si="25"/>
        <v>1488</v>
      </c>
      <c r="O90">
        <f ca="1">Table2[[#This Row],[Delivery Date]]-Table2[[#This Row],[Order date]]</f>
        <v>13</v>
      </c>
      <c r="P90">
        <f ca="1">MAX(0,Table2[[#This Row],[Delivery Date]]-Table2[[#This Row],[Planned Delivery Date]])</f>
        <v>4</v>
      </c>
      <c r="Q90" t="str">
        <f ca="1">IF(Table2[[#This Row],[Delivery Date]]&lt;=Table2[[#This Row],[Planned Delivery Date]],"On Time","Delayed")</f>
        <v>Delayed</v>
      </c>
      <c r="R90">
        <f ca="1">Table2[[#This Row],[Revenue]]-Table2[[#This Row],[Transport Cost]]</f>
        <v>1074.92</v>
      </c>
      <c r="S90" s="4">
        <f t="shared" ca="1" si="13"/>
        <v>0.44</v>
      </c>
    </row>
    <row r="91" spans="1:19" x14ac:dyDescent="0.2">
      <c r="A91" t="s">
        <v>105</v>
      </c>
      <c r="B91" s="1">
        <f t="shared" ca="1" si="14"/>
        <v>46187</v>
      </c>
      <c r="C91" s="1">
        <f t="shared" ca="1" si="15"/>
        <v>46196</v>
      </c>
      <c r="D91" s="1">
        <f t="shared" ca="1" si="16"/>
        <v>46198</v>
      </c>
      <c r="E91" t="str">
        <f t="shared" ca="1" si="17"/>
        <v>Samsung</v>
      </c>
      <c r="F91" t="str">
        <f t="shared" ca="1" si="18"/>
        <v>Germany</v>
      </c>
      <c r="G91" t="str">
        <f t="shared" ca="1" si="19"/>
        <v>Hamburg</v>
      </c>
      <c r="H91" t="str">
        <f t="shared" ca="1" si="20"/>
        <v>Air</v>
      </c>
      <c r="I91" t="str">
        <f t="shared" ca="1" si="21"/>
        <v>FedEx</v>
      </c>
      <c r="J91" t="s">
        <v>316</v>
      </c>
      <c r="K91">
        <f t="shared" ca="1" si="22"/>
        <v>2180</v>
      </c>
      <c r="L91">
        <f t="shared" ca="1" si="23"/>
        <v>1765.8</v>
      </c>
      <c r="M91">
        <f t="shared" ca="1" si="24"/>
        <v>80</v>
      </c>
      <c r="N91">
        <f t="shared" ca="1" si="25"/>
        <v>927</v>
      </c>
      <c r="O91">
        <f ca="1">Table2[[#This Row],[Delivery Date]]-Table2[[#This Row],[Order date]]</f>
        <v>11</v>
      </c>
      <c r="P91">
        <f ca="1">MAX(0,Table2[[#This Row],[Delivery Date]]-Table2[[#This Row],[Planned Delivery Date]])</f>
        <v>2</v>
      </c>
      <c r="Q91" t="str">
        <f ca="1">IF(Table2[[#This Row],[Delivery Date]]&lt;=Table2[[#This Row],[Planned Delivery Date]],"On Time","Delayed")</f>
        <v>Delayed</v>
      </c>
      <c r="R91">
        <f ca="1">Table2[[#This Row],[Revenue]]-Table2[[#This Row],[Transport Cost]]</f>
        <v>414.20000000000005</v>
      </c>
      <c r="S91" s="4">
        <f t="shared" ca="1" si="13"/>
        <v>0.19000000000000003</v>
      </c>
    </row>
    <row r="92" spans="1:19" x14ac:dyDescent="0.2">
      <c r="A92" t="s">
        <v>106</v>
      </c>
      <c r="B92" s="1">
        <f t="shared" ca="1" si="14"/>
        <v>46047</v>
      </c>
      <c r="C92" s="1">
        <f t="shared" ca="1" si="15"/>
        <v>46056</v>
      </c>
      <c r="D92" s="1">
        <f t="shared" ca="1" si="16"/>
        <v>46060</v>
      </c>
      <c r="E92" t="str">
        <f t="shared" ca="1" si="17"/>
        <v>Bosch</v>
      </c>
      <c r="F92" t="str">
        <f t="shared" ca="1" si="18"/>
        <v>Italy</v>
      </c>
      <c r="G92" t="str">
        <f t="shared" ca="1" si="19"/>
        <v>Milan</v>
      </c>
      <c r="H92" t="str">
        <f t="shared" ca="1" si="20"/>
        <v>Sea</v>
      </c>
      <c r="I92" t="str">
        <f t="shared" ca="1" si="21"/>
        <v>Kuehne+Nagel</v>
      </c>
      <c r="J92" t="s">
        <v>316</v>
      </c>
      <c r="K92">
        <f t="shared" ca="1" si="22"/>
        <v>3374</v>
      </c>
      <c r="L92">
        <f t="shared" ca="1" si="23"/>
        <v>1990.66</v>
      </c>
      <c r="M92">
        <f t="shared" ca="1" si="24"/>
        <v>3700</v>
      </c>
      <c r="N92">
        <f t="shared" ca="1" si="25"/>
        <v>1891</v>
      </c>
      <c r="O92">
        <f ca="1">Table2[[#This Row],[Delivery Date]]-Table2[[#This Row],[Order date]]</f>
        <v>13</v>
      </c>
      <c r="P92">
        <f ca="1">MAX(0,Table2[[#This Row],[Delivery Date]]-Table2[[#This Row],[Planned Delivery Date]])</f>
        <v>4</v>
      </c>
      <c r="Q92" t="str">
        <f ca="1">IF(Table2[[#This Row],[Delivery Date]]&lt;=Table2[[#This Row],[Planned Delivery Date]],"On Time","Delayed")</f>
        <v>Delayed</v>
      </c>
      <c r="R92">
        <f ca="1">Table2[[#This Row],[Revenue]]-Table2[[#This Row],[Transport Cost]]</f>
        <v>1383.34</v>
      </c>
      <c r="S92" s="4">
        <f t="shared" ca="1" si="13"/>
        <v>0.41</v>
      </c>
    </row>
    <row r="93" spans="1:19" x14ac:dyDescent="0.2">
      <c r="A93" t="s">
        <v>107</v>
      </c>
      <c r="B93" s="1">
        <f t="shared" ca="1" si="14"/>
        <v>46110</v>
      </c>
      <c r="C93" s="1">
        <f t="shared" ca="1" si="15"/>
        <v>46114</v>
      </c>
      <c r="D93" s="1">
        <f t="shared" ca="1" si="16"/>
        <v>46116</v>
      </c>
      <c r="E93" t="str">
        <f t="shared" ca="1" si="17"/>
        <v>Allegro</v>
      </c>
      <c r="F93" t="str">
        <f t="shared" ca="1" si="18"/>
        <v>Poland</v>
      </c>
      <c r="G93" t="str">
        <f t="shared" ca="1" si="19"/>
        <v>Krakow</v>
      </c>
      <c r="H93" t="str">
        <f t="shared" ca="1" si="20"/>
        <v>Sea</v>
      </c>
      <c r="I93" t="str">
        <f t="shared" ca="1" si="21"/>
        <v>Maersk</v>
      </c>
      <c r="J93" t="s">
        <v>316</v>
      </c>
      <c r="K93">
        <f t="shared" ca="1" si="22"/>
        <v>2378</v>
      </c>
      <c r="L93">
        <f t="shared" ca="1" si="23"/>
        <v>1426.8</v>
      </c>
      <c r="M93">
        <f t="shared" ca="1" si="24"/>
        <v>12327</v>
      </c>
      <c r="N93">
        <f t="shared" ca="1" si="25"/>
        <v>366</v>
      </c>
      <c r="O93">
        <f ca="1">Table2[[#This Row],[Delivery Date]]-Table2[[#This Row],[Order date]]</f>
        <v>6</v>
      </c>
      <c r="P93">
        <f ca="1">MAX(0,Table2[[#This Row],[Delivery Date]]-Table2[[#This Row],[Planned Delivery Date]])</f>
        <v>2</v>
      </c>
      <c r="Q93" t="str">
        <f ca="1">IF(Table2[[#This Row],[Delivery Date]]&lt;=Table2[[#This Row],[Planned Delivery Date]],"On Time","Delayed")</f>
        <v>Delayed</v>
      </c>
      <c r="R93">
        <f ca="1">Table2[[#This Row],[Revenue]]-Table2[[#This Row],[Transport Cost]]</f>
        <v>951.2</v>
      </c>
      <c r="S93" s="4">
        <f t="shared" ca="1" si="13"/>
        <v>0.4</v>
      </c>
    </row>
    <row r="94" spans="1:19" x14ac:dyDescent="0.2">
      <c r="A94" t="s">
        <v>108</v>
      </c>
      <c r="B94" s="1">
        <f t="shared" ca="1" si="14"/>
        <v>46031</v>
      </c>
      <c r="C94" s="1">
        <f t="shared" ca="1" si="15"/>
        <v>46036</v>
      </c>
      <c r="D94" s="1">
        <f t="shared" ca="1" si="16"/>
        <v>46040</v>
      </c>
      <c r="E94" t="str">
        <f t="shared" ca="1" si="17"/>
        <v>H&amp;M</v>
      </c>
      <c r="F94" t="str">
        <f t="shared" ca="1" si="18"/>
        <v>Czech Republic</v>
      </c>
      <c r="G94" t="str">
        <f t="shared" ca="1" si="19"/>
        <v>Prague</v>
      </c>
      <c r="H94" t="str">
        <f t="shared" ca="1" si="20"/>
        <v>Sea</v>
      </c>
      <c r="I94" t="str">
        <f t="shared" ca="1" si="21"/>
        <v>Maersk</v>
      </c>
      <c r="J94" t="s">
        <v>316</v>
      </c>
      <c r="K94">
        <f t="shared" ca="1" si="22"/>
        <v>3578</v>
      </c>
      <c r="L94">
        <f t="shared" ca="1" si="23"/>
        <v>3005.52</v>
      </c>
      <c r="M94">
        <f t="shared" ca="1" si="24"/>
        <v>11776</v>
      </c>
      <c r="N94">
        <f t="shared" ca="1" si="25"/>
        <v>728</v>
      </c>
      <c r="O94">
        <f ca="1">Table2[[#This Row],[Delivery Date]]-Table2[[#This Row],[Order date]]</f>
        <v>9</v>
      </c>
      <c r="P94">
        <f ca="1">MAX(0,Table2[[#This Row],[Delivery Date]]-Table2[[#This Row],[Planned Delivery Date]])</f>
        <v>4</v>
      </c>
      <c r="Q94" t="str">
        <f ca="1">IF(Table2[[#This Row],[Delivery Date]]&lt;=Table2[[#This Row],[Planned Delivery Date]],"On Time","Delayed")</f>
        <v>Delayed</v>
      </c>
      <c r="R94">
        <f ca="1">Table2[[#This Row],[Revenue]]-Table2[[#This Row],[Transport Cost]]</f>
        <v>572.48</v>
      </c>
      <c r="S94" s="4">
        <f t="shared" ca="1" si="13"/>
        <v>0.16</v>
      </c>
    </row>
    <row r="95" spans="1:19" x14ac:dyDescent="0.2">
      <c r="A95" t="s">
        <v>109</v>
      </c>
      <c r="B95" s="1">
        <f t="shared" ca="1" si="14"/>
        <v>46196</v>
      </c>
      <c r="C95" s="1">
        <f t="shared" ca="1" si="15"/>
        <v>46203</v>
      </c>
      <c r="D95" s="1">
        <f t="shared" ca="1" si="16"/>
        <v>46208</v>
      </c>
      <c r="E95" t="str">
        <f t="shared" ca="1" si="17"/>
        <v>Allegro</v>
      </c>
      <c r="F95" t="str">
        <f t="shared" ca="1" si="18"/>
        <v>Italy</v>
      </c>
      <c r="G95" t="str">
        <f t="shared" ca="1" si="19"/>
        <v>Rome</v>
      </c>
      <c r="H95" t="str">
        <f t="shared" ca="1" si="20"/>
        <v>Road</v>
      </c>
      <c r="I95" t="str">
        <f t="shared" ca="1" si="21"/>
        <v>GLS</v>
      </c>
      <c r="J95" t="s">
        <v>316</v>
      </c>
      <c r="K95">
        <f t="shared" ca="1" si="22"/>
        <v>1986</v>
      </c>
      <c r="L95">
        <f t="shared" ca="1" si="23"/>
        <v>1310.76</v>
      </c>
      <c r="M95">
        <f t="shared" ca="1" si="24"/>
        <v>597</v>
      </c>
      <c r="N95">
        <f t="shared" ca="1" si="25"/>
        <v>1444</v>
      </c>
      <c r="O95">
        <f ca="1">Table2[[#This Row],[Delivery Date]]-Table2[[#This Row],[Order date]]</f>
        <v>12</v>
      </c>
      <c r="P95">
        <f ca="1">MAX(0,Table2[[#This Row],[Delivery Date]]-Table2[[#This Row],[Planned Delivery Date]])</f>
        <v>5</v>
      </c>
      <c r="Q95" t="str">
        <f ca="1">IF(Table2[[#This Row],[Delivery Date]]&lt;=Table2[[#This Row],[Planned Delivery Date]],"On Time","Delayed")</f>
        <v>Delayed</v>
      </c>
      <c r="R95">
        <f ca="1">Table2[[#This Row],[Revenue]]-Table2[[#This Row],[Transport Cost]]</f>
        <v>675.24</v>
      </c>
      <c r="S95" s="4">
        <f t="shared" ca="1" si="13"/>
        <v>0.34</v>
      </c>
    </row>
    <row r="96" spans="1:19" x14ac:dyDescent="0.2">
      <c r="A96" t="s">
        <v>110</v>
      </c>
      <c r="B96" s="1">
        <f t="shared" ca="1" si="14"/>
        <v>46191</v>
      </c>
      <c r="C96" s="1">
        <f t="shared" ca="1" si="15"/>
        <v>46194</v>
      </c>
      <c r="D96" s="1">
        <f t="shared" ca="1" si="16"/>
        <v>46198</v>
      </c>
      <c r="E96" t="str">
        <f t="shared" ca="1" si="17"/>
        <v>IKEA</v>
      </c>
      <c r="F96" t="str">
        <f t="shared" ca="1" si="18"/>
        <v>Germany</v>
      </c>
      <c r="G96" t="str">
        <f t="shared" ca="1" si="19"/>
        <v>Munich</v>
      </c>
      <c r="H96" t="str">
        <f t="shared" ca="1" si="20"/>
        <v>Sea</v>
      </c>
      <c r="I96" t="str">
        <f t="shared" ca="1" si="21"/>
        <v>Kuehne+Nagel</v>
      </c>
      <c r="J96" t="s">
        <v>316</v>
      </c>
      <c r="K96">
        <f t="shared" ca="1" si="22"/>
        <v>2796</v>
      </c>
      <c r="L96">
        <f t="shared" ca="1" si="23"/>
        <v>2376.6</v>
      </c>
      <c r="M96">
        <f t="shared" ca="1" si="24"/>
        <v>2975</v>
      </c>
      <c r="N96">
        <f t="shared" ca="1" si="25"/>
        <v>1125</v>
      </c>
      <c r="O96">
        <f ca="1">Table2[[#This Row],[Delivery Date]]-Table2[[#This Row],[Order date]]</f>
        <v>7</v>
      </c>
      <c r="P96">
        <f ca="1">MAX(0,Table2[[#This Row],[Delivery Date]]-Table2[[#This Row],[Planned Delivery Date]])</f>
        <v>4</v>
      </c>
      <c r="Q96" t="str">
        <f ca="1">IF(Table2[[#This Row],[Delivery Date]]&lt;=Table2[[#This Row],[Planned Delivery Date]],"On Time","Delayed")</f>
        <v>Delayed</v>
      </c>
      <c r="R96">
        <f ca="1">Table2[[#This Row],[Revenue]]-Table2[[#This Row],[Transport Cost]]</f>
        <v>419.40000000000009</v>
      </c>
      <c r="S96" s="4">
        <f t="shared" ca="1" si="13"/>
        <v>0.15000000000000002</v>
      </c>
    </row>
    <row r="97" spans="1:19" x14ac:dyDescent="0.2">
      <c r="A97" t="s">
        <v>111</v>
      </c>
      <c r="B97" s="1">
        <f t="shared" ca="1" si="14"/>
        <v>46075</v>
      </c>
      <c r="C97" s="1">
        <f t="shared" ca="1" si="15"/>
        <v>46082</v>
      </c>
      <c r="D97" s="1">
        <f t="shared" ca="1" si="16"/>
        <v>46084</v>
      </c>
      <c r="E97" t="str">
        <f t="shared" ca="1" si="17"/>
        <v>Decathlon</v>
      </c>
      <c r="F97" t="str">
        <f t="shared" ca="1" si="18"/>
        <v>France</v>
      </c>
      <c r="G97" t="str">
        <f t="shared" ca="1" si="19"/>
        <v>Paris</v>
      </c>
      <c r="H97" t="str">
        <f t="shared" ca="1" si="20"/>
        <v>Road</v>
      </c>
      <c r="I97" t="str">
        <f t="shared" ca="1" si="21"/>
        <v>DHL</v>
      </c>
      <c r="J97" t="s">
        <v>316</v>
      </c>
      <c r="K97">
        <f t="shared" ca="1" si="22"/>
        <v>2097</v>
      </c>
      <c r="L97">
        <f t="shared" ca="1" si="23"/>
        <v>1216.26</v>
      </c>
      <c r="M97">
        <f t="shared" ca="1" si="24"/>
        <v>1262</v>
      </c>
      <c r="N97">
        <f t="shared" ca="1" si="25"/>
        <v>1346</v>
      </c>
      <c r="O97">
        <f ca="1">Table2[[#This Row],[Delivery Date]]-Table2[[#This Row],[Order date]]</f>
        <v>9</v>
      </c>
      <c r="P97">
        <f ca="1">MAX(0,Table2[[#This Row],[Delivery Date]]-Table2[[#This Row],[Planned Delivery Date]])</f>
        <v>2</v>
      </c>
      <c r="Q97" t="str">
        <f ca="1">IF(Table2[[#This Row],[Delivery Date]]&lt;=Table2[[#This Row],[Planned Delivery Date]],"On Time","Delayed")</f>
        <v>Delayed</v>
      </c>
      <c r="R97">
        <f ca="1">Table2[[#This Row],[Revenue]]-Table2[[#This Row],[Transport Cost]]</f>
        <v>880.74</v>
      </c>
      <c r="S97" s="4">
        <f t="shared" ca="1" si="13"/>
        <v>0.42</v>
      </c>
    </row>
    <row r="98" spans="1:19" x14ac:dyDescent="0.2">
      <c r="A98" t="s">
        <v>112</v>
      </c>
      <c r="B98" s="1">
        <f t="shared" ca="1" si="14"/>
        <v>46158</v>
      </c>
      <c r="C98" s="1">
        <f t="shared" ca="1" si="15"/>
        <v>46162</v>
      </c>
      <c r="D98" s="1">
        <f t="shared" ca="1" si="16"/>
        <v>46163</v>
      </c>
      <c r="E98" t="str">
        <f t="shared" ca="1" si="17"/>
        <v>Philips</v>
      </c>
      <c r="F98" t="str">
        <f t="shared" ca="1" si="18"/>
        <v>Spain</v>
      </c>
      <c r="G98" t="str">
        <f t="shared" ca="1" si="19"/>
        <v>Barcelona</v>
      </c>
      <c r="H98" t="str">
        <f t="shared" ca="1" si="20"/>
        <v>Road</v>
      </c>
      <c r="I98" t="str">
        <f t="shared" ca="1" si="21"/>
        <v>DB Schenker</v>
      </c>
      <c r="J98" t="s">
        <v>316</v>
      </c>
      <c r="K98">
        <f t="shared" ca="1" si="22"/>
        <v>1045</v>
      </c>
      <c r="L98">
        <f t="shared" ca="1" si="23"/>
        <v>752.4</v>
      </c>
      <c r="M98">
        <f t="shared" ca="1" si="24"/>
        <v>3869</v>
      </c>
      <c r="N98">
        <f t="shared" ca="1" si="25"/>
        <v>2051</v>
      </c>
      <c r="O98">
        <f ca="1">Table2[[#This Row],[Delivery Date]]-Table2[[#This Row],[Order date]]</f>
        <v>5</v>
      </c>
      <c r="P98">
        <f ca="1">MAX(0,Table2[[#This Row],[Delivery Date]]-Table2[[#This Row],[Planned Delivery Date]])</f>
        <v>1</v>
      </c>
      <c r="Q98" t="str">
        <f ca="1">IF(Table2[[#This Row],[Delivery Date]]&lt;=Table2[[#This Row],[Planned Delivery Date]],"On Time","Delayed")</f>
        <v>Delayed</v>
      </c>
      <c r="R98">
        <f ca="1">Table2[[#This Row],[Revenue]]-Table2[[#This Row],[Transport Cost]]</f>
        <v>292.60000000000002</v>
      </c>
      <c r="S98" s="4">
        <f t="shared" ca="1" si="13"/>
        <v>0.28000000000000003</v>
      </c>
    </row>
    <row r="99" spans="1:19" x14ac:dyDescent="0.2">
      <c r="A99" t="s">
        <v>113</v>
      </c>
      <c r="B99" s="1">
        <f t="shared" ca="1" si="14"/>
        <v>46194</v>
      </c>
      <c r="C99" s="1">
        <f t="shared" ca="1" si="15"/>
        <v>46197</v>
      </c>
      <c r="D99" s="1">
        <f t="shared" ca="1" si="16"/>
        <v>46201</v>
      </c>
      <c r="E99" t="str">
        <f t="shared" ca="1" si="17"/>
        <v>Decathlon</v>
      </c>
      <c r="F99" t="str">
        <f t="shared" ca="1" si="18"/>
        <v>France</v>
      </c>
      <c r="G99" t="str">
        <f t="shared" ca="1" si="19"/>
        <v>Paris</v>
      </c>
      <c r="H99" t="str">
        <f t="shared" ca="1" si="20"/>
        <v>Rail</v>
      </c>
      <c r="I99" t="str">
        <f t="shared" ca="1" si="21"/>
        <v>DB Schenker</v>
      </c>
      <c r="J99" t="s">
        <v>316</v>
      </c>
      <c r="K99">
        <f t="shared" ca="1" si="22"/>
        <v>1431</v>
      </c>
      <c r="L99">
        <f t="shared" ca="1" si="23"/>
        <v>915.84</v>
      </c>
      <c r="M99">
        <f t="shared" ca="1" si="24"/>
        <v>7228</v>
      </c>
      <c r="N99">
        <f t="shared" ca="1" si="25"/>
        <v>1202</v>
      </c>
      <c r="O99">
        <f ca="1">Table2[[#This Row],[Delivery Date]]-Table2[[#This Row],[Order date]]</f>
        <v>7</v>
      </c>
      <c r="P99">
        <f ca="1">MAX(0,Table2[[#This Row],[Delivery Date]]-Table2[[#This Row],[Planned Delivery Date]])</f>
        <v>4</v>
      </c>
      <c r="Q99" t="str">
        <f ca="1">IF(Table2[[#This Row],[Delivery Date]]&lt;=Table2[[#This Row],[Planned Delivery Date]],"On Time","Delayed")</f>
        <v>Delayed</v>
      </c>
      <c r="R99">
        <f ca="1">Table2[[#This Row],[Revenue]]-Table2[[#This Row],[Transport Cost]]</f>
        <v>515.16</v>
      </c>
      <c r="S99" s="4">
        <f t="shared" ca="1" si="13"/>
        <v>0.36</v>
      </c>
    </row>
    <row r="100" spans="1:19" x14ac:dyDescent="0.2">
      <c r="A100" t="s">
        <v>114</v>
      </c>
      <c r="B100" s="1">
        <f t="shared" ca="1" si="14"/>
        <v>46116</v>
      </c>
      <c r="C100" s="1">
        <f t="shared" ca="1" si="15"/>
        <v>46119</v>
      </c>
      <c r="D100" s="1">
        <f t="shared" ca="1" si="16"/>
        <v>46124</v>
      </c>
      <c r="E100" t="str">
        <f t="shared" ca="1" si="17"/>
        <v>Decathlon</v>
      </c>
      <c r="F100" t="str">
        <f t="shared" ca="1" si="18"/>
        <v>France</v>
      </c>
      <c r="G100" t="str">
        <f t="shared" ca="1" si="19"/>
        <v>Lyon</v>
      </c>
      <c r="H100" t="str">
        <f t="shared" ca="1" si="20"/>
        <v>Sea</v>
      </c>
      <c r="I100" t="str">
        <f t="shared" ca="1" si="21"/>
        <v>Maersk</v>
      </c>
      <c r="J100" t="s">
        <v>316</v>
      </c>
      <c r="K100">
        <f t="shared" ca="1" si="22"/>
        <v>3466</v>
      </c>
      <c r="L100">
        <f t="shared" ca="1" si="23"/>
        <v>2530.1799999999998</v>
      </c>
      <c r="M100">
        <f t="shared" ca="1" si="24"/>
        <v>8556</v>
      </c>
      <c r="N100">
        <f t="shared" ca="1" si="25"/>
        <v>1285</v>
      </c>
      <c r="O100">
        <f ca="1">Table2[[#This Row],[Delivery Date]]-Table2[[#This Row],[Order date]]</f>
        <v>8</v>
      </c>
      <c r="P100">
        <f ca="1">MAX(0,Table2[[#This Row],[Delivery Date]]-Table2[[#This Row],[Planned Delivery Date]])</f>
        <v>5</v>
      </c>
      <c r="Q100" t="str">
        <f ca="1">IF(Table2[[#This Row],[Delivery Date]]&lt;=Table2[[#This Row],[Planned Delivery Date]],"On Time","Delayed")</f>
        <v>Delayed</v>
      </c>
      <c r="R100">
        <f ca="1">Table2[[#This Row],[Revenue]]-Table2[[#This Row],[Transport Cost]]</f>
        <v>935.82000000000016</v>
      </c>
      <c r="S100" s="4">
        <f t="shared" ca="1" si="13"/>
        <v>0.27000000000000007</v>
      </c>
    </row>
    <row r="101" spans="1:19" x14ac:dyDescent="0.2">
      <c r="A101" t="s">
        <v>115</v>
      </c>
      <c r="B101" s="1">
        <f t="shared" ca="1" si="14"/>
        <v>46046</v>
      </c>
      <c r="C101" s="1">
        <f t="shared" ca="1" si="15"/>
        <v>46051</v>
      </c>
      <c r="D101" s="1">
        <f t="shared" ca="1" si="16"/>
        <v>46050</v>
      </c>
      <c r="E101" t="str">
        <f t="shared" ca="1" si="17"/>
        <v>Zara</v>
      </c>
      <c r="F101" t="str">
        <f t="shared" ca="1" si="18"/>
        <v>Poland</v>
      </c>
      <c r="G101" t="str">
        <f t="shared" ca="1" si="19"/>
        <v>Krakow</v>
      </c>
      <c r="H101" t="str">
        <f t="shared" ca="1" si="20"/>
        <v>Air</v>
      </c>
      <c r="I101" t="str">
        <f t="shared" ca="1" si="21"/>
        <v>FedEx</v>
      </c>
      <c r="J101" t="s">
        <v>316</v>
      </c>
      <c r="K101">
        <f t="shared" ca="1" si="22"/>
        <v>5165</v>
      </c>
      <c r="L101">
        <f t="shared" ca="1" si="23"/>
        <v>3357.25</v>
      </c>
      <c r="M101">
        <f t="shared" ca="1" si="24"/>
        <v>767</v>
      </c>
      <c r="N101">
        <f t="shared" ca="1" si="25"/>
        <v>558</v>
      </c>
      <c r="O101">
        <f ca="1">Table2[[#This Row],[Delivery Date]]-Table2[[#This Row],[Order date]]</f>
        <v>4</v>
      </c>
      <c r="P101">
        <f ca="1">MAX(0,Table2[[#This Row],[Delivery Date]]-Table2[[#This Row],[Planned Delivery Date]])</f>
        <v>0</v>
      </c>
      <c r="Q101" t="str">
        <f ca="1">IF(Table2[[#This Row],[Delivery Date]]&lt;=Table2[[#This Row],[Planned Delivery Date]],"On Time","Delayed")</f>
        <v>On Time</v>
      </c>
      <c r="R101">
        <f ca="1">Table2[[#This Row],[Revenue]]-Table2[[#This Row],[Transport Cost]]</f>
        <v>1807.75</v>
      </c>
      <c r="S101" s="4">
        <f t="shared" ca="1" si="13"/>
        <v>0.35</v>
      </c>
    </row>
    <row r="102" spans="1:19" x14ac:dyDescent="0.2">
      <c r="A102" t="s">
        <v>116</v>
      </c>
      <c r="B102" s="1">
        <f t="shared" ca="1" si="14"/>
        <v>46146</v>
      </c>
      <c r="C102" s="1">
        <f t="shared" ca="1" si="15"/>
        <v>46154</v>
      </c>
      <c r="D102" s="1">
        <f t="shared" ca="1" si="16"/>
        <v>46154</v>
      </c>
      <c r="E102" t="str">
        <f t="shared" ca="1" si="17"/>
        <v>Samsung</v>
      </c>
      <c r="F102" t="str">
        <f t="shared" ca="1" si="18"/>
        <v>Czech Republic</v>
      </c>
      <c r="G102" t="str">
        <f t="shared" ca="1" si="19"/>
        <v>Prague</v>
      </c>
      <c r="H102" t="str">
        <f t="shared" ca="1" si="20"/>
        <v>Road</v>
      </c>
      <c r="I102" t="str">
        <f t="shared" ca="1" si="21"/>
        <v>DHL</v>
      </c>
      <c r="J102" t="s">
        <v>316</v>
      </c>
      <c r="K102">
        <f t="shared" ca="1" si="22"/>
        <v>1246</v>
      </c>
      <c r="L102">
        <f t="shared" ca="1" si="23"/>
        <v>909.58</v>
      </c>
      <c r="M102">
        <f t="shared" ca="1" si="24"/>
        <v>1460</v>
      </c>
      <c r="N102">
        <f t="shared" ca="1" si="25"/>
        <v>844</v>
      </c>
      <c r="O102">
        <f ca="1">Table2[[#This Row],[Delivery Date]]-Table2[[#This Row],[Order date]]</f>
        <v>8</v>
      </c>
      <c r="P102">
        <f ca="1">MAX(0,Table2[[#This Row],[Delivery Date]]-Table2[[#This Row],[Planned Delivery Date]])</f>
        <v>0</v>
      </c>
      <c r="Q102" t="str">
        <f ca="1">IF(Table2[[#This Row],[Delivery Date]]&lt;=Table2[[#This Row],[Planned Delivery Date]],"On Time","Delayed")</f>
        <v>On Time</v>
      </c>
      <c r="R102">
        <f ca="1">Table2[[#This Row],[Revenue]]-Table2[[#This Row],[Transport Cost]]</f>
        <v>336.41999999999996</v>
      </c>
      <c r="S102" s="4">
        <f t="shared" ca="1" si="13"/>
        <v>0.26999999999999996</v>
      </c>
    </row>
    <row r="103" spans="1:19" x14ac:dyDescent="0.2">
      <c r="A103" t="s">
        <v>117</v>
      </c>
      <c r="B103" s="1">
        <f t="shared" ca="1" si="14"/>
        <v>46092</v>
      </c>
      <c r="C103" s="1">
        <f t="shared" ca="1" si="15"/>
        <v>46101</v>
      </c>
      <c r="D103" s="1">
        <f t="shared" ca="1" si="16"/>
        <v>46102</v>
      </c>
      <c r="E103" t="str">
        <f t="shared" ca="1" si="17"/>
        <v>Bosch</v>
      </c>
      <c r="F103" t="str">
        <f t="shared" ca="1" si="18"/>
        <v>Czech Republic</v>
      </c>
      <c r="G103" t="str">
        <f t="shared" ca="1" si="19"/>
        <v>Prague</v>
      </c>
      <c r="H103" t="str">
        <f t="shared" ca="1" si="20"/>
        <v>Road</v>
      </c>
      <c r="I103" t="str">
        <f t="shared" ca="1" si="21"/>
        <v>UPS</v>
      </c>
      <c r="J103" t="s">
        <v>316</v>
      </c>
      <c r="K103">
        <f t="shared" ca="1" si="22"/>
        <v>2393</v>
      </c>
      <c r="L103">
        <f t="shared" ca="1" si="23"/>
        <v>1962.26</v>
      </c>
      <c r="M103">
        <f t="shared" ca="1" si="24"/>
        <v>4389</v>
      </c>
      <c r="N103">
        <f t="shared" ca="1" si="25"/>
        <v>555</v>
      </c>
      <c r="O103">
        <f ca="1">Table2[[#This Row],[Delivery Date]]-Table2[[#This Row],[Order date]]</f>
        <v>10</v>
      </c>
      <c r="P103">
        <f ca="1">MAX(0,Table2[[#This Row],[Delivery Date]]-Table2[[#This Row],[Planned Delivery Date]])</f>
        <v>1</v>
      </c>
      <c r="Q103" t="str">
        <f ca="1">IF(Table2[[#This Row],[Delivery Date]]&lt;=Table2[[#This Row],[Planned Delivery Date]],"On Time","Delayed")</f>
        <v>Delayed</v>
      </c>
      <c r="R103">
        <f ca="1">Table2[[#This Row],[Revenue]]-Table2[[#This Row],[Transport Cost]]</f>
        <v>430.74</v>
      </c>
      <c r="S103" s="4">
        <f t="shared" ca="1" si="13"/>
        <v>0.18</v>
      </c>
    </row>
    <row r="104" spans="1:19" x14ac:dyDescent="0.2">
      <c r="A104" t="s">
        <v>118</v>
      </c>
      <c r="B104" s="1">
        <f t="shared" ca="1" si="14"/>
        <v>46069</v>
      </c>
      <c r="C104" s="1">
        <f t="shared" ca="1" si="15"/>
        <v>46072</v>
      </c>
      <c r="D104" s="1">
        <f t="shared" ca="1" si="16"/>
        <v>46076</v>
      </c>
      <c r="E104" t="str">
        <f t="shared" ca="1" si="17"/>
        <v>Samsung</v>
      </c>
      <c r="F104" t="str">
        <f t="shared" ca="1" si="18"/>
        <v>Italy</v>
      </c>
      <c r="G104" t="str">
        <f t="shared" ca="1" si="19"/>
        <v>Rome</v>
      </c>
      <c r="H104" t="str">
        <f t="shared" ca="1" si="20"/>
        <v>Road</v>
      </c>
      <c r="I104" t="str">
        <f t="shared" ca="1" si="21"/>
        <v>GLS</v>
      </c>
      <c r="J104" t="s">
        <v>316</v>
      </c>
      <c r="K104">
        <f t="shared" ca="1" si="22"/>
        <v>1228</v>
      </c>
      <c r="L104">
        <f t="shared" ca="1" si="23"/>
        <v>724.52</v>
      </c>
      <c r="M104">
        <f t="shared" ca="1" si="24"/>
        <v>1224</v>
      </c>
      <c r="N104">
        <f t="shared" ca="1" si="25"/>
        <v>1291</v>
      </c>
      <c r="O104">
        <f ca="1">Table2[[#This Row],[Delivery Date]]-Table2[[#This Row],[Order date]]</f>
        <v>7</v>
      </c>
      <c r="P104">
        <f ca="1">MAX(0,Table2[[#This Row],[Delivery Date]]-Table2[[#This Row],[Planned Delivery Date]])</f>
        <v>4</v>
      </c>
      <c r="Q104" t="str">
        <f ca="1">IF(Table2[[#This Row],[Delivery Date]]&lt;=Table2[[#This Row],[Planned Delivery Date]],"On Time","Delayed")</f>
        <v>Delayed</v>
      </c>
      <c r="R104">
        <f ca="1">Table2[[#This Row],[Revenue]]-Table2[[#This Row],[Transport Cost]]</f>
        <v>503.48</v>
      </c>
      <c r="S104" s="4">
        <f t="shared" ca="1" si="13"/>
        <v>0.41000000000000003</v>
      </c>
    </row>
    <row r="105" spans="1:19" x14ac:dyDescent="0.2">
      <c r="A105" t="s">
        <v>119</v>
      </c>
      <c r="B105" s="1">
        <f t="shared" ca="1" si="14"/>
        <v>46061</v>
      </c>
      <c r="C105" s="1">
        <f t="shared" ca="1" si="15"/>
        <v>46066</v>
      </c>
      <c r="D105" s="1">
        <f t="shared" ca="1" si="16"/>
        <v>46065</v>
      </c>
      <c r="E105" t="str">
        <f t="shared" ca="1" si="17"/>
        <v>Allegro</v>
      </c>
      <c r="F105" t="str">
        <f t="shared" ca="1" si="18"/>
        <v>Germany</v>
      </c>
      <c r="G105" t="str">
        <f t="shared" ca="1" si="19"/>
        <v>Hamburg</v>
      </c>
      <c r="H105" t="str">
        <f t="shared" ca="1" si="20"/>
        <v>Air</v>
      </c>
      <c r="I105" t="str">
        <f t="shared" ca="1" si="21"/>
        <v>FedEx</v>
      </c>
      <c r="J105" t="s">
        <v>316</v>
      </c>
      <c r="K105">
        <f t="shared" ca="1" si="22"/>
        <v>2005</v>
      </c>
      <c r="L105">
        <f t="shared" ca="1" si="23"/>
        <v>1684.2</v>
      </c>
      <c r="M105">
        <f t="shared" ca="1" si="24"/>
        <v>154</v>
      </c>
      <c r="N105">
        <f t="shared" ca="1" si="25"/>
        <v>825</v>
      </c>
      <c r="O105">
        <f ca="1">Table2[[#This Row],[Delivery Date]]-Table2[[#This Row],[Order date]]</f>
        <v>4</v>
      </c>
      <c r="P105">
        <f ca="1">MAX(0,Table2[[#This Row],[Delivery Date]]-Table2[[#This Row],[Planned Delivery Date]])</f>
        <v>0</v>
      </c>
      <c r="Q105" t="str">
        <f ca="1">IF(Table2[[#This Row],[Delivery Date]]&lt;=Table2[[#This Row],[Planned Delivery Date]],"On Time","Delayed")</f>
        <v>On Time</v>
      </c>
      <c r="R105">
        <f ca="1">Table2[[#This Row],[Revenue]]-Table2[[#This Row],[Transport Cost]]</f>
        <v>320.79999999999995</v>
      </c>
      <c r="S105" s="4">
        <f t="shared" ca="1" si="13"/>
        <v>0.15999999999999998</v>
      </c>
    </row>
    <row r="106" spans="1:19" x14ac:dyDescent="0.2">
      <c r="A106" t="s">
        <v>120</v>
      </c>
      <c r="B106" s="1">
        <f t="shared" ca="1" si="14"/>
        <v>46201</v>
      </c>
      <c r="C106" s="1">
        <f t="shared" ca="1" si="15"/>
        <v>46208</v>
      </c>
      <c r="D106" s="1">
        <f t="shared" ca="1" si="16"/>
        <v>46211</v>
      </c>
      <c r="E106" t="str">
        <f t="shared" ca="1" si="17"/>
        <v>Decathlon</v>
      </c>
      <c r="F106" t="str">
        <f t="shared" ca="1" si="18"/>
        <v>Germany</v>
      </c>
      <c r="G106" t="str">
        <f t="shared" ca="1" si="19"/>
        <v>Berlin</v>
      </c>
      <c r="H106" t="str">
        <f t="shared" ca="1" si="20"/>
        <v>Road</v>
      </c>
      <c r="I106" t="str">
        <f t="shared" ca="1" si="21"/>
        <v>GLS</v>
      </c>
      <c r="J106" t="s">
        <v>316</v>
      </c>
      <c r="K106">
        <f t="shared" ca="1" si="22"/>
        <v>2157</v>
      </c>
      <c r="L106">
        <f t="shared" ca="1" si="23"/>
        <v>1509.9</v>
      </c>
      <c r="M106">
        <f t="shared" ca="1" si="24"/>
        <v>773</v>
      </c>
      <c r="N106">
        <f t="shared" ca="1" si="25"/>
        <v>768</v>
      </c>
      <c r="O106">
        <f ca="1">Table2[[#This Row],[Delivery Date]]-Table2[[#This Row],[Order date]]</f>
        <v>10</v>
      </c>
      <c r="P106">
        <f ca="1">MAX(0,Table2[[#This Row],[Delivery Date]]-Table2[[#This Row],[Planned Delivery Date]])</f>
        <v>3</v>
      </c>
      <c r="Q106" t="str">
        <f ca="1">IF(Table2[[#This Row],[Delivery Date]]&lt;=Table2[[#This Row],[Planned Delivery Date]],"On Time","Delayed")</f>
        <v>Delayed</v>
      </c>
      <c r="R106">
        <f ca="1">Table2[[#This Row],[Revenue]]-Table2[[#This Row],[Transport Cost]]</f>
        <v>647.09999999999991</v>
      </c>
      <c r="S106" s="4">
        <f t="shared" ca="1" si="13"/>
        <v>0.29999999999999993</v>
      </c>
    </row>
    <row r="107" spans="1:19" x14ac:dyDescent="0.2">
      <c r="A107" t="s">
        <v>121</v>
      </c>
      <c r="B107" s="1">
        <f t="shared" ca="1" si="14"/>
        <v>46183</v>
      </c>
      <c r="C107" s="1">
        <f t="shared" ca="1" si="15"/>
        <v>46192</v>
      </c>
      <c r="D107" s="1">
        <f t="shared" ca="1" si="16"/>
        <v>46196</v>
      </c>
      <c r="E107" t="str">
        <f t="shared" ca="1" si="17"/>
        <v>IKEA</v>
      </c>
      <c r="F107" t="str">
        <f t="shared" ca="1" si="18"/>
        <v>Spain</v>
      </c>
      <c r="G107" t="str">
        <f t="shared" ca="1" si="19"/>
        <v>Barcelona</v>
      </c>
      <c r="H107" t="str">
        <f t="shared" ca="1" si="20"/>
        <v>Air</v>
      </c>
      <c r="I107" t="str">
        <f t="shared" ca="1" si="21"/>
        <v>UPS</v>
      </c>
      <c r="J107" t="s">
        <v>316</v>
      </c>
      <c r="K107">
        <f t="shared" ca="1" si="22"/>
        <v>2601</v>
      </c>
      <c r="L107">
        <f t="shared" ca="1" si="23"/>
        <v>1950.75</v>
      </c>
      <c r="M107">
        <f t="shared" ca="1" si="24"/>
        <v>420</v>
      </c>
      <c r="N107">
        <f t="shared" ca="1" si="25"/>
        <v>2431</v>
      </c>
      <c r="O107">
        <f ca="1">Table2[[#This Row],[Delivery Date]]-Table2[[#This Row],[Order date]]</f>
        <v>13</v>
      </c>
      <c r="P107">
        <f ca="1">MAX(0,Table2[[#This Row],[Delivery Date]]-Table2[[#This Row],[Planned Delivery Date]])</f>
        <v>4</v>
      </c>
      <c r="Q107" t="str">
        <f ca="1">IF(Table2[[#This Row],[Delivery Date]]&lt;=Table2[[#This Row],[Planned Delivery Date]],"On Time","Delayed")</f>
        <v>Delayed</v>
      </c>
      <c r="R107">
        <f ca="1">Table2[[#This Row],[Revenue]]-Table2[[#This Row],[Transport Cost]]</f>
        <v>650.25</v>
      </c>
      <c r="S107" s="4">
        <f t="shared" ca="1" si="13"/>
        <v>0.25</v>
      </c>
    </row>
    <row r="108" spans="1:19" x14ac:dyDescent="0.2">
      <c r="A108" t="s">
        <v>122</v>
      </c>
      <c r="B108" s="1">
        <f t="shared" ca="1" si="14"/>
        <v>46194</v>
      </c>
      <c r="C108" s="1">
        <f t="shared" ca="1" si="15"/>
        <v>46199</v>
      </c>
      <c r="D108" s="1">
        <f t="shared" ca="1" si="16"/>
        <v>46200</v>
      </c>
      <c r="E108" t="str">
        <f t="shared" ca="1" si="17"/>
        <v>Decathlon</v>
      </c>
      <c r="F108" t="str">
        <f t="shared" ca="1" si="18"/>
        <v>Italy</v>
      </c>
      <c r="G108" t="str">
        <f t="shared" ca="1" si="19"/>
        <v>Milan</v>
      </c>
      <c r="H108" t="str">
        <f t="shared" ca="1" si="20"/>
        <v>Rail</v>
      </c>
      <c r="I108" t="str">
        <f t="shared" ca="1" si="21"/>
        <v>DB Schenker</v>
      </c>
      <c r="J108" t="s">
        <v>316</v>
      </c>
      <c r="K108">
        <f t="shared" ca="1" si="22"/>
        <v>969</v>
      </c>
      <c r="L108">
        <f t="shared" ca="1" si="23"/>
        <v>591.09</v>
      </c>
      <c r="M108">
        <f t="shared" ca="1" si="24"/>
        <v>7100</v>
      </c>
      <c r="N108">
        <f t="shared" ca="1" si="25"/>
        <v>1496</v>
      </c>
      <c r="O108">
        <f ca="1">Table2[[#This Row],[Delivery Date]]-Table2[[#This Row],[Order date]]</f>
        <v>6</v>
      </c>
      <c r="P108">
        <f ca="1">MAX(0,Table2[[#This Row],[Delivery Date]]-Table2[[#This Row],[Planned Delivery Date]])</f>
        <v>1</v>
      </c>
      <c r="Q108" t="str">
        <f ca="1">IF(Table2[[#This Row],[Delivery Date]]&lt;=Table2[[#This Row],[Planned Delivery Date]],"On Time","Delayed")</f>
        <v>Delayed</v>
      </c>
      <c r="R108">
        <f ca="1">Table2[[#This Row],[Revenue]]-Table2[[#This Row],[Transport Cost]]</f>
        <v>377.90999999999997</v>
      </c>
      <c r="S108" s="4">
        <f t="shared" ca="1" si="13"/>
        <v>0.38999999999999996</v>
      </c>
    </row>
    <row r="109" spans="1:19" x14ac:dyDescent="0.2">
      <c r="A109" t="s">
        <v>123</v>
      </c>
      <c r="B109" s="1">
        <f t="shared" ca="1" si="14"/>
        <v>46133</v>
      </c>
      <c r="C109" s="1">
        <f t="shared" ca="1" si="15"/>
        <v>46136</v>
      </c>
      <c r="D109" s="1">
        <f t="shared" ca="1" si="16"/>
        <v>46139</v>
      </c>
      <c r="E109" t="str">
        <f t="shared" ca="1" si="17"/>
        <v>Zara</v>
      </c>
      <c r="F109" t="str">
        <f t="shared" ca="1" si="18"/>
        <v>Italy</v>
      </c>
      <c r="G109" t="str">
        <f t="shared" ca="1" si="19"/>
        <v>Rome</v>
      </c>
      <c r="H109" t="str">
        <f t="shared" ca="1" si="20"/>
        <v>Sea</v>
      </c>
      <c r="I109" t="str">
        <f t="shared" ca="1" si="21"/>
        <v>Maersk</v>
      </c>
      <c r="J109" t="s">
        <v>316</v>
      </c>
      <c r="K109">
        <f t="shared" ca="1" si="22"/>
        <v>4925</v>
      </c>
      <c r="L109">
        <f t="shared" ca="1" si="23"/>
        <v>3644.5</v>
      </c>
      <c r="M109">
        <f t="shared" ca="1" si="24"/>
        <v>13963</v>
      </c>
      <c r="N109">
        <f t="shared" ca="1" si="25"/>
        <v>1541</v>
      </c>
      <c r="O109">
        <f ca="1">Table2[[#This Row],[Delivery Date]]-Table2[[#This Row],[Order date]]</f>
        <v>6</v>
      </c>
      <c r="P109">
        <f ca="1">MAX(0,Table2[[#This Row],[Delivery Date]]-Table2[[#This Row],[Planned Delivery Date]])</f>
        <v>3</v>
      </c>
      <c r="Q109" t="str">
        <f ca="1">IF(Table2[[#This Row],[Delivery Date]]&lt;=Table2[[#This Row],[Planned Delivery Date]],"On Time","Delayed")</f>
        <v>Delayed</v>
      </c>
      <c r="R109">
        <f ca="1">Table2[[#This Row],[Revenue]]-Table2[[#This Row],[Transport Cost]]</f>
        <v>1280.5</v>
      </c>
      <c r="S109" s="4">
        <f t="shared" ca="1" si="13"/>
        <v>0.26</v>
      </c>
    </row>
    <row r="110" spans="1:19" x14ac:dyDescent="0.2">
      <c r="A110" t="s">
        <v>124</v>
      </c>
      <c r="B110" s="1">
        <f t="shared" ca="1" si="14"/>
        <v>46158</v>
      </c>
      <c r="C110" s="1">
        <f t="shared" ca="1" si="15"/>
        <v>46167</v>
      </c>
      <c r="D110" s="1">
        <f t="shared" ca="1" si="16"/>
        <v>46169</v>
      </c>
      <c r="E110" t="str">
        <f t="shared" ca="1" si="17"/>
        <v>Allegro</v>
      </c>
      <c r="F110" t="str">
        <f t="shared" ca="1" si="18"/>
        <v>Poland</v>
      </c>
      <c r="G110" t="str">
        <f t="shared" ca="1" si="19"/>
        <v>Warsaw</v>
      </c>
      <c r="H110" t="str">
        <f t="shared" ca="1" si="20"/>
        <v>Road</v>
      </c>
      <c r="I110" t="str">
        <f t="shared" ca="1" si="21"/>
        <v>DHL</v>
      </c>
      <c r="J110" t="s">
        <v>316</v>
      </c>
      <c r="K110">
        <f t="shared" ca="1" si="22"/>
        <v>1670</v>
      </c>
      <c r="L110">
        <f t="shared" ca="1" si="23"/>
        <v>935.2</v>
      </c>
      <c r="M110">
        <f t="shared" ca="1" si="24"/>
        <v>1642</v>
      </c>
      <c r="N110">
        <f t="shared" ca="1" si="25"/>
        <v>322</v>
      </c>
      <c r="O110">
        <f ca="1">Table2[[#This Row],[Delivery Date]]-Table2[[#This Row],[Order date]]</f>
        <v>11</v>
      </c>
      <c r="P110">
        <f ca="1">MAX(0,Table2[[#This Row],[Delivery Date]]-Table2[[#This Row],[Planned Delivery Date]])</f>
        <v>2</v>
      </c>
      <c r="Q110" t="str">
        <f ca="1">IF(Table2[[#This Row],[Delivery Date]]&lt;=Table2[[#This Row],[Planned Delivery Date]],"On Time","Delayed")</f>
        <v>Delayed</v>
      </c>
      <c r="R110">
        <f ca="1">Table2[[#This Row],[Revenue]]-Table2[[#This Row],[Transport Cost]]</f>
        <v>734.8</v>
      </c>
      <c r="S110" s="4">
        <f t="shared" ca="1" si="13"/>
        <v>0.43999999999999995</v>
      </c>
    </row>
    <row r="111" spans="1:19" x14ac:dyDescent="0.2">
      <c r="A111" t="s">
        <v>125</v>
      </c>
      <c r="B111" s="1">
        <f t="shared" ca="1" si="14"/>
        <v>46043</v>
      </c>
      <c r="C111" s="1">
        <f t="shared" ca="1" si="15"/>
        <v>46047</v>
      </c>
      <c r="D111" s="1">
        <f t="shared" ca="1" si="16"/>
        <v>46051</v>
      </c>
      <c r="E111" t="str">
        <f t="shared" ca="1" si="17"/>
        <v>Philips</v>
      </c>
      <c r="F111" t="str">
        <f t="shared" ca="1" si="18"/>
        <v>Italy</v>
      </c>
      <c r="G111" t="str">
        <f t="shared" ca="1" si="19"/>
        <v>Milan</v>
      </c>
      <c r="H111" t="str">
        <f t="shared" ca="1" si="20"/>
        <v>Road</v>
      </c>
      <c r="I111" t="str">
        <f t="shared" ca="1" si="21"/>
        <v>UPS</v>
      </c>
      <c r="J111" t="s">
        <v>316</v>
      </c>
      <c r="K111">
        <f t="shared" ca="1" si="22"/>
        <v>1539</v>
      </c>
      <c r="L111">
        <f t="shared" ca="1" si="23"/>
        <v>1292.76</v>
      </c>
      <c r="M111">
        <f t="shared" ca="1" si="24"/>
        <v>250</v>
      </c>
      <c r="N111">
        <f t="shared" ca="1" si="25"/>
        <v>1602</v>
      </c>
      <c r="O111">
        <f ca="1">Table2[[#This Row],[Delivery Date]]-Table2[[#This Row],[Order date]]</f>
        <v>8</v>
      </c>
      <c r="P111">
        <f ca="1">MAX(0,Table2[[#This Row],[Delivery Date]]-Table2[[#This Row],[Planned Delivery Date]])</f>
        <v>4</v>
      </c>
      <c r="Q111" t="str">
        <f ca="1">IF(Table2[[#This Row],[Delivery Date]]&lt;=Table2[[#This Row],[Planned Delivery Date]],"On Time","Delayed")</f>
        <v>Delayed</v>
      </c>
      <c r="R111">
        <f ca="1">Table2[[#This Row],[Revenue]]-Table2[[#This Row],[Transport Cost]]</f>
        <v>246.24</v>
      </c>
      <c r="S111" s="4">
        <f t="shared" ca="1" si="13"/>
        <v>0.16</v>
      </c>
    </row>
    <row r="112" spans="1:19" x14ac:dyDescent="0.2">
      <c r="A112" t="s">
        <v>126</v>
      </c>
      <c r="B112" s="1">
        <f t="shared" ca="1" si="14"/>
        <v>46115</v>
      </c>
      <c r="C112" s="1">
        <f t="shared" ca="1" si="15"/>
        <v>46121</v>
      </c>
      <c r="D112" s="1">
        <f t="shared" ca="1" si="16"/>
        <v>46123</v>
      </c>
      <c r="E112" t="str">
        <f t="shared" ca="1" si="17"/>
        <v>Allegro</v>
      </c>
      <c r="F112" t="str">
        <f t="shared" ca="1" si="18"/>
        <v>Spain</v>
      </c>
      <c r="G112" t="str">
        <f t="shared" ca="1" si="19"/>
        <v>Madrid</v>
      </c>
      <c r="H112" t="str">
        <f t="shared" ca="1" si="20"/>
        <v>Road</v>
      </c>
      <c r="I112" t="str">
        <f t="shared" ca="1" si="21"/>
        <v>GLS</v>
      </c>
      <c r="J112" t="s">
        <v>316</v>
      </c>
      <c r="K112">
        <f t="shared" ca="1" si="22"/>
        <v>1663</v>
      </c>
      <c r="L112">
        <f t="shared" ca="1" si="23"/>
        <v>964.54</v>
      </c>
      <c r="M112">
        <f t="shared" ca="1" si="24"/>
        <v>2471</v>
      </c>
      <c r="N112">
        <f t="shared" ca="1" si="25"/>
        <v>2139</v>
      </c>
      <c r="O112">
        <f ca="1">Table2[[#This Row],[Delivery Date]]-Table2[[#This Row],[Order date]]</f>
        <v>8</v>
      </c>
      <c r="P112">
        <f ca="1">MAX(0,Table2[[#This Row],[Delivery Date]]-Table2[[#This Row],[Planned Delivery Date]])</f>
        <v>2</v>
      </c>
      <c r="Q112" t="str">
        <f ca="1">IF(Table2[[#This Row],[Delivery Date]]&lt;=Table2[[#This Row],[Planned Delivery Date]],"On Time","Delayed")</f>
        <v>Delayed</v>
      </c>
      <c r="R112">
        <f ca="1">Table2[[#This Row],[Revenue]]-Table2[[#This Row],[Transport Cost]]</f>
        <v>698.46</v>
      </c>
      <c r="S112" s="4">
        <f t="shared" ca="1" si="13"/>
        <v>0.42000000000000004</v>
      </c>
    </row>
    <row r="113" spans="1:19" x14ac:dyDescent="0.2">
      <c r="A113" t="s">
        <v>127</v>
      </c>
      <c r="B113" s="1">
        <f t="shared" ca="1" si="14"/>
        <v>46174</v>
      </c>
      <c r="C113" s="1">
        <f t="shared" ca="1" si="15"/>
        <v>46178</v>
      </c>
      <c r="D113" s="1">
        <f t="shared" ca="1" si="16"/>
        <v>46180</v>
      </c>
      <c r="E113" t="str">
        <f t="shared" ca="1" si="17"/>
        <v>Philips</v>
      </c>
      <c r="F113" t="str">
        <f t="shared" ca="1" si="18"/>
        <v>Spain</v>
      </c>
      <c r="G113" t="str">
        <f t="shared" ca="1" si="19"/>
        <v>Barcelona</v>
      </c>
      <c r="H113" t="str">
        <f t="shared" ca="1" si="20"/>
        <v>Sea</v>
      </c>
      <c r="I113" t="str">
        <f t="shared" ca="1" si="21"/>
        <v>Maersk</v>
      </c>
      <c r="J113" t="s">
        <v>316</v>
      </c>
      <c r="K113">
        <f t="shared" ca="1" si="22"/>
        <v>1678</v>
      </c>
      <c r="L113">
        <f t="shared" ca="1" si="23"/>
        <v>1258.5</v>
      </c>
      <c r="M113">
        <f t="shared" ca="1" si="24"/>
        <v>7706</v>
      </c>
      <c r="N113">
        <f t="shared" ca="1" si="25"/>
        <v>2216</v>
      </c>
      <c r="O113">
        <f ca="1">Table2[[#This Row],[Delivery Date]]-Table2[[#This Row],[Order date]]</f>
        <v>6</v>
      </c>
      <c r="P113">
        <f ca="1">MAX(0,Table2[[#This Row],[Delivery Date]]-Table2[[#This Row],[Planned Delivery Date]])</f>
        <v>2</v>
      </c>
      <c r="Q113" t="str">
        <f ca="1">IF(Table2[[#This Row],[Delivery Date]]&lt;=Table2[[#This Row],[Planned Delivery Date]],"On Time","Delayed")</f>
        <v>Delayed</v>
      </c>
      <c r="R113">
        <f ca="1">Table2[[#This Row],[Revenue]]-Table2[[#This Row],[Transport Cost]]</f>
        <v>419.5</v>
      </c>
      <c r="S113" s="4">
        <f t="shared" ca="1" si="13"/>
        <v>0.25</v>
      </c>
    </row>
    <row r="114" spans="1:19" x14ac:dyDescent="0.2">
      <c r="A114" t="s">
        <v>128</v>
      </c>
      <c r="B114" s="1">
        <f t="shared" ca="1" si="14"/>
        <v>46047</v>
      </c>
      <c r="C114" s="1">
        <f t="shared" ca="1" si="15"/>
        <v>46052</v>
      </c>
      <c r="D114" s="1">
        <f t="shared" ca="1" si="16"/>
        <v>46051</v>
      </c>
      <c r="E114" t="str">
        <f t="shared" ca="1" si="17"/>
        <v>Bosch</v>
      </c>
      <c r="F114" t="str">
        <f t="shared" ca="1" si="18"/>
        <v>Czech Republic</v>
      </c>
      <c r="G114" t="str">
        <f t="shared" ca="1" si="19"/>
        <v>Prague</v>
      </c>
      <c r="H114" t="str">
        <f t="shared" ca="1" si="20"/>
        <v>Road</v>
      </c>
      <c r="I114" t="str">
        <f t="shared" ca="1" si="21"/>
        <v>DB Schenker</v>
      </c>
      <c r="J114" t="s">
        <v>316</v>
      </c>
      <c r="K114">
        <f t="shared" ca="1" si="22"/>
        <v>1515</v>
      </c>
      <c r="L114">
        <f t="shared" ca="1" si="23"/>
        <v>999.9</v>
      </c>
      <c r="M114">
        <f t="shared" ca="1" si="24"/>
        <v>4948</v>
      </c>
      <c r="N114">
        <f t="shared" ca="1" si="25"/>
        <v>767</v>
      </c>
      <c r="O114">
        <f ca="1">Table2[[#This Row],[Delivery Date]]-Table2[[#This Row],[Order date]]</f>
        <v>4</v>
      </c>
      <c r="P114">
        <f ca="1">MAX(0,Table2[[#This Row],[Delivery Date]]-Table2[[#This Row],[Planned Delivery Date]])</f>
        <v>0</v>
      </c>
      <c r="Q114" t="str">
        <f ca="1">IF(Table2[[#This Row],[Delivery Date]]&lt;=Table2[[#This Row],[Planned Delivery Date]],"On Time","Delayed")</f>
        <v>On Time</v>
      </c>
      <c r="R114">
        <f ca="1">Table2[[#This Row],[Revenue]]-Table2[[#This Row],[Transport Cost]]</f>
        <v>515.1</v>
      </c>
      <c r="S114" s="4">
        <f t="shared" ca="1" si="13"/>
        <v>0.34</v>
      </c>
    </row>
    <row r="115" spans="1:19" x14ac:dyDescent="0.2">
      <c r="A115" t="s">
        <v>129</v>
      </c>
      <c r="B115" s="1">
        <f t="shared" ca="1" si="14"/>
        <v>46044</v>
      </c>
      <c r="C115" s="1">
        <f t="shared" ca="1" si="15"/>
        <v>46049</v>
      </c>
      <c r="D115" s="1">
        <f t="shared" ca="1" si="16"/>
        <v>46054</v>
      </c>
      <c r="E115" t="str">
        <f t="shared" ca="1" si="17"/>
        <v>IKEA</v>
      </c>
      <c r="F115" t="str">
        <f t="shared" ca="1" si="18"/>
        <v>Germany</v>
      </c>
      <c r="G115" t="str">
        <f t="shared" ca="1" si="19"/>
        <v>Hamburg</v>
      </c>
      <c r="H115" t="str">
        <f t="shared" ca="1" si="20"/>
        <v>Road</v>
      </c>
      <c r="I115" t="str">
        <f t="shared" ca="1" si="21"/>
        <v>FedEx</v>
      </c>
      <c r="J115" t="s">
        <v>316</v>
      </c>
      <c r="K115">
        <f t="shared" ca="1" si="22"/>
        <v>2412</v>
      </c>
      <c r="L115">
        <f t="shared" ca="1" si="23"/>
        <v>1398.96</v>
      </c>
      <c r="M115">
        <f t="shared" ca="1" si="24"/>
        <v>1240</v>
      </c>
      <c r="N115">
        <f t="shared" ca="1" si="25"/>
        <v>1164</v>
      </c>
      <c r="O115">
        <f ca="1">Table2[[#This Row],[Delivery Date]]-Table2[[#This Row],[Order date]]</f>
        <v>10</v>
      </c>
      <c r="P115">
        <f ca="1">MAX(0,Table2[[#This Row],[Delivery Date]]-Table2[[#This Row],[Planned Delivery Date]])</f>
        <v>5</v>
      </c>
      <c r="Q115" t="str">
        <f ca="1">IF(Table2[[#This Row],[Delivery Date]]&lt;=Table2[[#This Row],[Planned Delivery Date]],"On Time","Delayed")</f>
        <v>Delayed</v>
      </c>
      <c r="R115">
        <f ca="1">Table2[[#This Row],[Revenue]]-Table2[[#This Row],[Transport Cost]]</f>
        <v>1013.04</v>
      </c>
      <c r="S115" s="4">
        <f t="shared" ca="1" si="13"/>
        <v>0.42</v>
      </c>
    </row>
    <row r="116" spans="1:19" x14ac:dyDescent="0.2">
      <c r="A116" t="s">
        <v>130</v>
      </c>
      <c r="B116" s="1">
        <f t="shared" ca="1" si="14"/>
        <v>46132</v>
      </c>
      <c r="C116" s="1">
        <f t="shared" ca="1" si="15"/>
        <v>46134</v>
      </c>
      <c r="D116" s="1">
        <f t="shared" ca="1" si="16"/>
        <v>46135</v>
      </c>
      <c r="E116" t="str">
        <f t="shared" ca="1" si="17"/>
        <v>Zara</v>
      </c>
      <c r="F116" t="str">
        <f t="shared" ca="1" si="18"/>
        <v>Italy</v>
      </c>
      <c r="G116" t="str">
        <f t="shared" ca="1" si="19"/>
        <v>Milan</v>
      </c>
      <c r="H116" t="str">
        <f t="shared" ca="1" si="20"/>
        <v>Rail</v>
      </c>
      <c r="I116" t="str">
        <f t="shared" ca="1" si="21"/>
        <v>Kuehne+Nagel</v>
      </c>
      <c r="J116" t="s">
        <v>316</v>
      </c>
      <c r="K116">
        <f t="shared" ca="1" si="22"/>
        <v>1727</v>
      </c>
      <c r="L116">
        <f t="shared" ca="1" si="23"/>
        <v>967.12</v>
      </c>
      <c r="M116">
        <f t="shared" ca="1" si="24"/>
        <v>5055</v>
      </c>
      <c r="N116">
        <f t="shared" ca="1" si="25"/>
        <v>1850</v>
      </c>
      <c r="O116">
        <f ca="1">Table2[[#This Row],[Delivery Date]]-Table2[[#This Row],[Order date]]</f>
        <v>3</v>
      </c>
      <c r="P116">
        <f ca="1">MAX(0,Table2[[#This Row],[Delivery Date]]-Table2[[#This Row],[Planned Delivery Date]])</f>
        <v>1</v>
      </c>
      <c r="Q116" t="str">
        <f ca="1">IF(Table2[[#This Row],[Delivery Date]]&lt;=Table2[[#This Row],[Planned Delivery Date]],"On Time","Delayed")</f>
        <v>Delayed</v>
      </c>
      <c r="R116">
        <f ca="1">Table2[[#This Row],[Revenue]]-Table2[[#This Row],[Transport Cost]]</f>
        <v>759.88</v>
      </c>
      <c r="S116" s="4">
        <f t="shared" ca="1" si="13"/>
        <v>0.44</v>
      </c>
    </row>
    <row r="117" spans="1:19" x14ac:dyDescent="0.2">
      <c r="A117" t="s">
        <v>131</v>
      </c>
      <c r="B117" s="1">
        <f t="shared" ca="1" si="14"/>
        <v>46065</v>
      </c>
      <c r="C117" s="1">
        <f t="shared" ca="1" si="15"/>
        <v>46067</v>
      </c>
      <c r="D117" s="1">
        <f t="shared" ca="1" si="16"/>
        <v>46071</v>
      </c>
      <c r="E117" t="str">
        <f t="shared" ca="1" si="17"/>
        <v>Bosch</v>
      </c>
      <c r="F117" t="str">
        <f t="shared" ca="1" si="18"/>
        <v>Germany</v>
      </c>
      <c r="G117" t="str">
        <f t="shared" ca="1" si="19"/>
        <v>Berlin</v>
      </c>
      <c r="H117" t="str">
        <f t="shared" ca="1" si="20"/>
        <v>Road</v>
      </c>
      <c r="I117" t="str">
        <f t="shared" ca="1" si="21"/>
        <v>DHL</v>
      </c>
      <c r="J117" t="s">
        <v>316</v>
      </c>
      <c r="K117">
        <f t="shared" ca="1" si="22"/>
        <v>2136</v>
      </c>
      <c r="L117">
        <f t="shared" ca="1" si="23"/>
        <v>1367.04</v>
      </c>
      <c r="M117">
        <f t="shared" ca="1" si="24"/>
        <v>2617</v>
      </c>
      <c r="N117">
        <f t="shared" ca="1" si="25"/>
        <v>1019</v>
      </c>
      <c r="O117">
        <f ca="1">Table2[[#This Row],[Delivery Date]]-Table2[[#This Row],[Order date]]</f>
        <v>6</v>
      </c>
      <c r="P117">
        <f ca="1">MAX(0,Table2[[#This Row],[Delivery Date]]-Table2[[#This Row],[Planned Delivery Date]])</f>
        <v>4</v>
      </c>
      <c r="Q117" t="str">
        <f ca="1">IF(Table2[[#This Row],[Delivery Date]]&lt;=Table2[[#This Row],[Planned Delivery Date]],"On Time","Delayed")</f>
        <v>Delayed</v>
      </c>
      <c r="R117">
        <f ca="1">Table2[[#This Row],[Revenue]]-Table2[[#This Row],[Transport Cost]]</f>
        <v>768.96</v>
      </c>
      <c r="S117" s="4">
        <f t="shared" ca="1" si="13"/>
        <v>0.36000000000000004</v>
      </c>
    </row>
    <row r="118" spans="1:19" x14ac:dyDescent="0.2">
      <c r="A118" t="s">
        <v>132</v>
      </c>
      <c r="B118" s="1">
        <f t="shared" ca="1" si="14"/>
        <v>46042</v>
      </c>
      <c r="C118" s="1">
        <f t="shared" ca="1" si="15"/>
        <v>46051</v>
      </c>
      <c r="D118" s="1">
        <f t="shared" ca="1" si="16"/>
        <v>46054</v>
      </c>
      <c r="E118" t="str">
        <f t="shared" ca="1" si="17"/>
        <v>H&amp;M</v>
      </c>
      <c r="F118" t="str">
        <f t="shared" ca="1" si="18"/>
        <v>Spain</v>
      </c>
      <c r="G118" t="str">
        <f t="shared" ca="1" si="19"/>
        <v>Madrid</v>
      </c>
      <c r="H118" t="str">
        <f t="shared" ca="1" si="20"/>
        <v>Rail</v>
      </c>
      <c r="I118" t="str">
        <f t="shared" ca="1" si="21"/>
        <v>Kuehne+Nagel</v>
      </c>
      <c r="J118" t="s">
        <v>316</v>
      </c>
      <c r="K118">
        <f t="shared" ca="1" si="22"/>
        <v>2088</v>
      </c>
      <c r="L118">
        <f t="shared" ca="1" si="23"/>
        <v>1712.16</v>
      </c>
      <c r="M118">
        <f t="shared" ca="1" si="24"/>
        <v>6660</v>
      </c>
      <c r="N118">
        <f t="shared" ca="1" si="25"/>
        <v>2281</v>
      </c>
      <c r="O118">
        <f ca="1">Table2[[#This Row],[Delivery Date]]-Table2[[#This Row],[Order date]]</f>
        <v>12</v>
      </c>
      <c r="P118">
        <f ca="1">MAX(0,Table2[[#This Row],[Delivery Date]]-Table2[[#This Row],[Planned Delivery Date]])</f>
        <v>3</v>
      </c>
      <c r="Q118" t="str">
        <f ca="1">IF(Table2[[#This Row],[Delivery Date]]&lt;=Table2[[#This Row],[Planned Delivery Date]],"On Time","Delayed")</f>
        <v>Delayed</v>
      </c>
      <c r="R118">
        <f ca="1">Table2[[#This Row],[Revenue]]-Table2[[#This Row],[Transport Cost]]</f>
        <v>375.83999999999992</v>
      </c>
      <c r="S118" s="4">
        <f t="shared" ca="1" si="13"/>
        <v>0.17999999999999997</v>
      </c>
    </row>
    <row r="119" spans="1:19" x14ac:dyDescent="0.2">
      <c r="A119" t="s">
        <v>133</v>
      </c>
      <c r="B119" s="1">
        <f t="shared" ca="1" si="14"/>
        <v>46197</v>
      </c>
      <c r="C119" s="1">
        <f t="shared" ca="1" si="15"/>
        <v>46199</v>
      </c>
      <c r="D119" s="1">
        <f t="shared" ca="1" si="16"/>
        <v>46198</v>
      </c>
      <c r="E119" t="str">
        <f t="shared" ca="1" si="17"/>
        <v>IKEA</v>
      </c>
      <c r="F119" t="str">
        <f t="shared" ca="1" si="18"/>
        <v>Czech Republic</v>
      </c>
      <c r="G119" t="str">
        <f t="shared" ca="1" si="19"/>
        <v>Prague</v>
      </c>
      <c r="H119" t="str">
        <f t="shared" ca="1" si="20"/>
        <v>Road</v>
      </c>
      <c r="I119" t="str">
        <f t="shared" ca="1" si="21"/>
        <v>UPS</v>
      </c>
      <c r="J119" t="s">
        <v>316</v>
      </c>
      <c r="K119">
        <f t="shared" ca="1" si="22"/>
        <v>910</v>
      </c>
      <c r="L119">
        <f t="shared" ca="1" si="23"/>
        <v>664.3</v>
      </c>
      <c r="M119">
        <f t="shared" ca="1" si="24"/>
        <v>1351</v>
      </c>
      <c r="N119">
        <f t="shared" ca="1" si="25"/>
        <v>795</v>
      </c>
      <c r="O119">
        <f ca="1">Table2[[#This Row],[Delivery Date]]-Table2[[#This Row],[Order date]]</f>
        <v>1</v>
      </c>
      <c r="P119">
        <f ca="1">MAX(0,Table2[[#This Row],[Delivery Date]]-Table2[[#This Row],[Planned Delivery Date]])</f>
        <v>0</v>
      </c>
      <c r="Q119" t="str">
        <f ca="1">IF(Table2[[#This Row],[Delivery Date]]&lt;=Table2[[#This Row],[Planned Delivery Date]],"On Time","Delayed")</f>
        <v>On Time</v>
      </c>
      <c r="R119">
        <f ca="1">Table2[[#This Row],[Revenue]]-Table2[[#This Row],[Transport Cost]]</f>
        <v>245.70000000000005</v>
      </c>
      <c r="S119" s="4">
        <f t="shared" ca="1" si="13"/>
        <v>0.27000000000000007</v>
      </c>
    </row>
    <row r="120" spans="1:19" x14ac:dyDescent="0.2">
      <c r="A120" t="s">
        <v>134</v>
      </c>
      <c r="B120" s="1">
        <f t="shared" ca="1" si="14"/>
        <v>46069</v>
      </c>
      <c r="C120" s="1">
        <f t="shared" ca="1" si="15"/>
        <v>46073</v>
      </c>
      <c r="D120" s="1">
        <f t="shared" ca="1" si="16"/>
        <v>46072</v>
      </c>
      <c r="E120" t="str">
        <f t="shared" ca="1" si="17"/>
        <v>H&amp;M</v>
      </c>
      <c r="F120" t="str">
        <f t="shared" ca="1" si="18"/>
        <v>Poland</v>
      </c>
      <c r="G120" t="str">
        <f t="shared" ca="1" si="19"/>
        <v>Krakow</v>
      </c>
      <c r="H120" t="str">
        <f t="shared" ca="1" si="20"/>
        <v>Rail</v>
      </c>
      <c r="I120" t="str">
        <f t="shared" ca="1" si="21"/>
        <v>DB Schenker</v>
      </c>
      <c r="J120" t="s">
        <v>316</v>
      </c>
      <c r="K120">
        <f t="shared" ca="1" si="22"/>
        <v>1444</v>
      </c>
      <c r="L120">
        <f t="shared" ca="1" si="23"/>
        <v>1212.96</v>
      </c>
      <c r="M120">
        <f t="shared" ca="1" si="24"/>
        <v>7280</v>
      </c>
      <c r="N120">
        <f t="shared" ca="1" si="25"/>
        <v>358</v>
      </c>
      <c r="O120">
        <f ca="1">Table2[[#This Row],[Delivery Date]]-Table2[[#This Row],[Order date]]</f>
        <v>3</v>
      </c>
      <c r="P120">
        <f ca="1">MAX(0,Table2[[#This Row],[Delivery Date]]-Table2[[#This Row],[Planned Delivery Date]])</f>
        <v>0</v>
      </c>
      <c r="Q120" t="str">
        <f ca="1">IF(Table2[[#This Row],[Delivery Date]]&lt;=Table2[[#This Row],[Planned Delivery Date]],"On Time","Delayed")</f>
        <v>On Time</v>
      </c>
      <c r="R120">
        <f ca="1">Table2[[#This Row],[Revenue]]-Table2[[#This Row],[Transport Cost]]</f>
        <v>231.03999999999996</v>
      </c>
      <c r="S120" s="4">
        <f t="shared" ca="1" si="13"/>
        <v>0.15999999999999998</v>
      </c>
    </row>
    <row r="121" spans="1:19" x14ac:dyDescent="0.2">
      <c r="A121" t="s">
        <v>135</v>
      </c>
      <c r="B121" s="1">
        <f t="shared" ca="1" si="14"/>
        <v>46201</v>
      </c>
      <c r="C121" s="1">
        <f t="shared" ca="1" si="15"/>
        <v>46209</v>
      </c>
      <c r="D121" s="1">
        <f t="shared" ca="1" si="16"/>
        <v>46213</v>
      </c>
      <c r="E121" t="str">
        <f t="shared" ca="1" si="17"/>
        <v>Zara</v>
      </c>
      <c r="F121" t="str">
        <f t="shared" ca="1" si="18"/>
        <v>Czech Republic</v>
      </c>
      <c r="G121" t="str">
        <f t="shared" ca="1" si="19"/>
        <v>Prague</v>
      </c>
      <c r="H121" t="str">
        <f t="shared" ca="1" si="20"/>
        <v>Rail</v>
      </c>
      <c r="I121" t="str">
        <f t="shared" ca="1" si="21"/>
        <v>Kuehne+Nagel</v>
      </c>
      <c r="J121" t="s">
        <v>316</v>
      </c>
      <c r="K121">
        <f t="shared" ca="1" si="22"/>
        <v>2246</v>
      </c>
      <c r="L121">
        <f t="shared" ca="1" si="23"/>
        <v>1437.44</v>
      </c>
      <c r="M121">
        <f t="shared" ca="1" si="24"/>
        <v>1942</v>
      </c>
      <c r="N121">
        <f t="shared" ca="1" si="25"/>
        <v>690</v>
      </c>
      <c r="O121">
        <f ca="1">Table2[[#This Row],[Delivery Date]]-Table2[[#This Row],[Order date]]</f>
        <v>12</v>
      </c>
      <c r="P121">
        <f ca="1">MAX(0,Table2[[#This Row],[Delivery Date]]-Table2[[#This Row],[Planned Delivery Date]])</f>
        <v>4</v>
      </c>
      <c r="Q121" t="str">
        <f ca="1">IF(Table2[[#This Row],[Delivery Date]]&lt;=Table2[[#This Row],[Planned Delivery Date]],"On Time","Delayed")</f>
        <v>Delayed</v>
      </c>
      <c r="R121">
        <f ca="1">Table2[[#This Row],[Revenue]]-Table2[[#This Row],[Transport Cost]]</f>
        <v>808.56</v>
      </c>
      <c r="S121" s="4">
        <f t="shared" ca="1" si="13"/>
        <v>0.36</v>
      </c>
    </row>
    <row r="122" spans="1:19" x14ac:dyDescent="0.2">
      <c r="A122" t="s">
        <v>136</v>
      </c>
      <c r="B122" s="1">
        <f t="shared" ca="1" si="14"/>
        <v>46118</v>
      </c>
      <c r="C122" s="1">
        <f t="shared" ca="1" si="15"/>
        <v>46126</v>
      </c>
      <c r="D122" s="1">
        <f t="shared" ca="1" si="16"/>
        <v>46125</v>
      </c>
      <c r="E122" t="str">
        <f t="shared" ca="1" si="17"/>
        <v>IKEA</v>
      </c>
      <c r="F122" t="str">
        <f t="shared" ca="1" si="18"/>
        <v>Germany</v>
      </c>
      <c r="G122" t="str">
        <f t="shared" ca="1" si="19"/>
        <v>Munich</v>
      </c>
      <c r="H122" t="str">
        <f t="shared" ca="1" si="20"/>
        <v>Rail</v>
      </c>
      <c r="I122" t="str">
        <f t="shared" ca="1" si="21"/>
        <v>Kuehne+Nagel</v>
      </c>
      <c r="J122" t="s">
        <v>316</v>
      </c>
      <c r="K122">
        <f t="shared" ca="1" si="22"/>
        <v>2841</v>
      </c>
      <c r="L122">
        <f t="shared" ca="1" si="23"/>
        <v>1903.47</v>
      </c>
      <c r="M122">
        <f t="shared" ca="1" si="24"/>
        <v>4103</v>
      </c>
      <c r="N122">
        <f t="shared" ca="1" si="25"/>
        <v>941</v>
      </c>
      <c r="O122">
        <f ca="1">Table2[[#This Row],[Delivery Date]]-Table2[[#This Row],[Order date]]</f>
        <v>7</v>
      </c>
      <c r="P122">
        <f ca="1">MAX(0,Table2[[#This Row],[Delivery Date]]-Table2[[#This Row],[Planned Delivery Date]])</f>
        <v>0</v>
      </c>
      <c r="Q122" t="str">
        <f ca="1">IF(Table2[[#This Row],[Delivery Date]]&lt;=Table2[[#This Row],[Planned Delivery Date]],"On Time","Delayed")</f>
        <v>On Time</v>
      </c>
      <c r="R122">
        <f ca="1">Table2[[#This Row],[Revenue]]-Table2[[#This Row],[Transport Cost]]</f>
        <v>937.53</v>
      </c>
      <c r="S122" s="4">
        <f t="shared" ca="1" si="13"/>
        <v>0.33</v>
      </c>
    </row>
    <row r="123" spans="1:19" x14ac:dyDescent="0.2">
      <c r="A123" t="s">
        <v>137</v>
      </c>
      <c r="B123" s="1">
        <f t="shared" ca="1" si="14"/>
        <v>46044</v>
      </c>
      <c r="C123" s="1">
        <f t="shared" ca="1" si="15"/>
        <v>46046</v>
      </c>
      <c r="D123" s="1">
        <f t="shared" ca="1" si="16"/>
        <v>46046</v>
      </c>
      <c r="E123" t="str">
        <f t="shared" ca="1" si="17"/>
        <v>Bosch</v>
      </c>
      <c r="F123" t="str">
        <f t="shared" ca="1" si="18"/>
        <v>Poland</v>
      </c>
      <c r="G123" t="str">
        <f t="shared" ca="1" si="19"/>
        <v>Gdansk</v>
      </c>
      <c r="H123" t="str">
        <f t="shared" ca="1" si="20"/>
        <v>Sea</v>
      </c>
      <c r="I123" t="str">
        <f t="shared" ca="1" si="21"/>
        <v>Kuehne+Nagel</v>
      </c>
      <c r="J123" t="s">
        <v>316</v>
      </c>
      <c r="K123">
        <f t="shared" ca="1" si="22"/>
        <v>4851</v>
      </c>
      <c r="L123">
        <f t="shared" ca="1" si="23"/>
        <v>2668.05</v>
      </c>
      <c r="M123">
        <f t="shared" ca="1" si="24"/>
        <v>3590</v>
      </c>
      <c r="N123">
        <f t="shared" ca="1" si="25"/>
        <v>260</v>
      </c>
      <c r="O123">
        <f ca="1">Table2[[#This Row],[Delivery Date]]-Table2[[#This Row],[Order date]]</f>
        <v>2</v>
      </c>
      <c r="P123">
        <f ca="1">MAX(0,Table2[[#This Row],[Delivery Date]]-Table2[[#This Row],[Planned Delivery Date]])</f>
        <v>0</v>
      </c>
      <c r="Q123" t="str">
        <f ca="1">IF(Table2[[#This Row],[Delivery Date]]&lt;=Table2[[#This Row],[Planned Delivery Date]],"On Time","Delayed")</f>
        <v>On Time</v>
      </c>
      <c r="R123">
        <f ca="1">Table2[[#This Row],[Revenue]]-Table2[[#This Row],[Transport Cost]]</f>
        <v>2182.9499999999998</v>
      </c>
      <c r="S123" s="4">
        <f t="shared" ca="1" si="13"/>
        <v>0.44999999999999996</v>
      </c>
    </row>
    <row r="124" spans="1:19" x14ac:dyDescent="0.2">
      <c r="A124" t="s">
        <v>138</v>
      </c>
      <c r="B124" s="1">
        <f t="shared" ca="1" si="14"/>
        <v>46042</v>
      </c>
      <c r="C124" s="1">
        <f t="shared" ca="1" si="15"/>
        <v>46050</v>
      </c>
      <c r="D124" s="1">
        <f t="shared" ca="1" si="16"/>
        <v>46050</v>
      </c>
      <c r="E124" t="str">
        <f t="shared" ca="1" si="17"/>
        <v>Bosch</v>
      </c>
      <c r="F124" t="str">
        <f t="shared" ca="1" si="18"/>
        <v>Poland</v>
      </c>
      <c r="G124" t="str">
        <f t="shared" ca="1" si="19"/>
        <v>Krakow</v>
      </c>
      <c r="H124" t="str">
        <f t="shared" ca="1" si="20"/>
        <v>Rail</v>
      </c>
      <c r="I124" t="str">
        <f t="shared" ca="1" si="21"/>
        <v>Kuehne+Nagel</v>
      </c>
      <c r="J124" t="s">
        <v>316</v>
      </c>
      <c r="K124">
        <f t="shared" ca="1" si="22"/>
        <v>1529</v>
      </c>
      <c r="L124">
        <f t="shared" ca="1" si="23"/>
        <v>1162.04</v>
      </c>
      <c r="M124">
        <f t="shared" ca="1" si="24"/>
        <v>9666</v>
      </c>
      <c r="N124">
        <f t="shared" ca="1" si="25"/>
        <v>109</v>
      </c>
      <c r="O124">
        <f ca="1">Table2[[#This Row],[Delivery Date]]-Table2[[#This Row],[Order date]]</f>
        <v>8</v>
      </c>
      <c r="P124">
        <f ca="1">MAX(0,Table2[[#This Row],[Delivery Date]]-Table2[[#This Row],[Planned Delivery Date]])</f>
        <v>0</v>
      </c>
      <c r="Q124" t="str">
        <f ca="1">IF(Table2[[#This Row],[Delivery Date]]&lt;=Table2[[#This Row],[Planned Delivery Date]],"On Time","Delayed")</f>
        <v>On Time</v>
      </c>
      <c r="R124">
        <f ca="1">Table2[[#This Row],[Revenue]]-Table2[[#This Row],[Transport Cost]]</f>
        <v>366.96000000000004</v>
      </c>
      <c r="S124" s="4">
        <f t="shared" ca="1" si="13"/>
        <v>0.24000000000000002</v>
      </c>
    </row>
    <row r="125" spans="1:19" x14ac:dyDescent="0.2">
      <c r="A125" t="s">
        <v>139</v>
      </c>
      <c r="B125" s="1">
        <f t="shared" ca="1" si="14"/>
        <v>46118</v>
      </c>
      <c r="C125" s="1">
        <f t="shared" ca="1" si="15"/>
        <v>46127</v>
      </c>
      <c r="D125" s="1">
        <f t="shared" ca="1" si="16"/>
        <v>46126</v>
      </c>
      <c r="E125" t="str">
        <f t="shared" ca="1" si="17"/>
        <v>IKEA</v>
      </c>
      <c r="F125" t="str">
        <f t="shared" ca="1" si="18"/>
        <v>Spain</v>
      </c>
      <c r="G125" t="str">
        <f t="shared" ca="1" si="19"/>
        <v>Madrid</v>
      </c>
      <c r="H125" t="str">
        <f t="shared" ca="1" si="20"/>
        <v>Sea</v>
      </c>
      <c r="I125" t="str">
        <f t="shared" ca="1" si="21"/>
        <v>Kuehne+Nagel</v>
      </c>
      <c r="J125" t="s">
        <v>316</v>
      </c>
      <c r="K125">
        <f t="shared" ca="1" si="22"/>
        <v>3953</v>
      </c>
      <c r="L125">
        <f t="shared" ca="1" si="23"/>
        <v>2885.69</v>
      </c>
      <c r="M125">
        <f t="shared" ca="1" si="24"/>
        <v>12519</v>
      </c>
      <c r="N125">
        <f t="shared" ca="1" si="25"/>
        <v>2312</v>
      </c>
      <c r="O125">
        <f ca="1">Table2[[#This Row],[Delivery Date]]-Table2[[#This Row],[Order date]]</f>
        <v>8</v>
      </c>
      <c r="P125">
        <f ca="1">MAX(0,Table2[[#This Row],[Delivery Date]]-Table2[[#This Row],[Planned Delivery Date]])</f>
        <v>0</v>
      </c>
      <c r="Q125" t="str">
        <f ca="1">IF(Table2[[#This Row],[Delivery Date]]&lt;=Table2[[#This Row],[Planned Delivery Date]],"On Time","Delayed")</f>
        <v>On Time</v>
      </c>
      <c r="R125">
        <f ca="1">Table2[[#This Row],[Revenue]]-Table2[[#This Row],[Transport Cost]]</f>
        <v>1067.31</v>
      </c>
      <c r="S125" s="4">
        <f t="shared" ca="1" si="13"/>
        <v>0.26999999999999996</v>
      </c>
    </row>
    <row r="126" spans="1:19" x14ac:dyDescent="0.2">
      <c r="A126" t="s">
        <v>140</v>
      </c>
      <c r="B126" s="1">
        <f t="shared" ca="1" si="14"/>
        <v>46146</v>
      </c>
      <c r="C126" s="1">
        <f t="shared" ca="1" si="15"/>
        <v>46154</v>
      </c>
      <c r="D126" s="1">
        <f t="shared" ca="1" si="16"/>
        <v>46159</v>
      </c>
      <c r="E126" t="str">
        <f t="shared" ca="1" si="17"/>
        <v>Zara</v>
      </c>
      <c r="F126" t="str">
        <f t="shared" ca="1" si="18"/>
        <v>France</v>
      </c>
      <c r="G126" t="str">
        <f t="shared" ca="1" si="19"/>
        <v>Lyon</v>
      </c>
      <c r="H126" t="str">
        <f t="shared" ca="1" si="20"/>
        <v>Rail</v>
      </c>
      <c r="I126" t="str">
        <f t="shared" ca="1" si="21"/>
        <v>Kuehne+Nagel</v>
      </c>
      <c r="J126" t="s">
        <v>316</v>
      </c>
      <c r="K126">
        <f t="shared" ca="1" si="22"/>
        <v>2365</v>
      </c>
      <c r="L126">
        <f t="shared" ca="1" si="23"/>
        <v>1962.95</v>
      </c>
      <c r="M126">
        <f t="shared" ca="1" si="24"/>
        <v>8617</v>
      </c>
      <c r="N126">
        <f t="shared" ca="1" si="25"/>
        <v>1337</v>
      </c>
      <c r="O126">
        <f ca="1">Table2[[#This Row],[Delivery Date]]-Table2[[#This Row],[Order date]]</f>
        <v>13</v>
      </c>
      <c r="P126">
        <f ca="1">MAX(0,Table2[[#This Row],[Delivery Date]]-Table2[[#This Row],[Planned Delivery Date]])</f>
        <v>5</v>
      </c>
      <c r="Q126" t="str">
        <f ca="1">IF(Table2[[#This Row],[Delivery Date]]&lt;=Table2[[#This Row],[Planned Delivery Date]],"On Time","Delayed")</f>
        <v>Delayed</v>
      </c>
      <c r="R126">
        <f ca="1">Table2[[#This Row],[Revenue]]-Table2[[#This Row],[Transport Cost]]</f>
        <v>402.04999999999995</v>
      </c>
      <c r="S126" s="4">
        <f t="shared" ca="1" si="13"/>
        <v>0.16999999999999998</v>
      </c>
    </row>
    <row r="127" spans="1:19" x14ac:dyDescent="0.2">
      <c r="A127" t="s">
        <v>141</v>
      </c>
      <c r="B127" s="1">
        <f t="shared" ca="1" si="14"/>
        <v>46033</v>
      </c>
      <c r="C127" s="1">
        <f t="shared" ca="1" si="15"/>
        <v>46041</v>
      </c>
      <c r="D127" s="1">
        <f t="shared" ca="1" si="16"/>
        <v>46040</v>
      </c>
      <c r="E127" t="str">
        <f t="shared" ca="1" si="17"/>
        <v>H&amp;M</v>
      </c>
      <c r="F127" t="str">
        <f t="shared" ca="1" si="18"/>
        <v>Poland</v>
      </c>
      <c r="G127" t="str">
        <f t="shared" ca="1" si="19"/>
        <v>Gdansk</v>
      </c>
      <c r="H127" t="str">
        <f t="shared" ca="1" si="20"/>
        <v>Sea</v>
      </c>
      <c r="I127" t="str">
        <f t="shared" ca="1" si="21"/>
        <v>Maersk</v>
      </c>
      <c r="J127" t="s">
        <v>316</v>
      </c>
      <c r="K127">
        <f t="shared" ca="1" si="22"/>
        <v>2391</v>
      </c>
      <c r="L127">
        <f t="shared" ca="1" si="23"/>
        <v>1362.87</v>
      </c>
      <c r="M127">
        <f t="shared" ca="1" si="24"/>
        <v>13883</v>
      </c>
      <c r="N127">
        <f t="shared" ca="1" si="25"/>
        <v>302</v>
      </c>
      <c r="O127">
        <f ca="1">Table2[[#This Row],[Delivery Date]]-Table2[[#This Row],[Order date]]</f>
        <v>7</v>
      </c>
      <c r="P127">
        <f ca="1">MAX(0,Table2[[#This Row],[Delivery Date]]-Table2[[#This Row],[Planned Delivery Date]])</f>
        <v>0</v>
      </c>
      <c r="Q127" t="str">
        <f ca="1">IF(Table2[[#This Row],[Delivery Date]]&lt;=Table2[[#This Row],[Planned Delivery Date]],"On Time","Delayed")</f>
        <v>On Time</v>
      </c>
      <c r="R127">
        <f ca="1">Table2[[#This Row],[Revenue]]-Table2[[#This Row],[Transport Cost]]</f>
        <v>1028.1300000000001</v>
      </c>
      <c r="S127" s="4">
        <f t="shared" ca="1" si="13"/>
        <v>0.43000000000000005</v>
      </c>
    </row>
    <row r="128" spans="1:19" x14ac:dyDescent="0.2">
      <c r="A128" t="s">
        <v>142</v>
      </c>
      <c r="B128" s="1">
        <f t="shared" ca="1" si="14"/>
        <v>46084</v>
      </c>
      <c r="C128" s="1">
        <f t="shared" ca="1" si="15"/>
        <v>46091</v>
      </c>
      <c r="D128" s="1">
        <f t="shared" ca="1" si="16"/>
        <v>46096</v>
      </c>
      <c r="E128" t="str">
        <f t="shared" ca="1" si="17"/>
        <v>Bosch</v>
      </c>
      <c r="F128" t="str">
        <f t="shared" ca="1" si="18"/>
        <v>Spain</v>
      </c>
      <c r="G128" t="str">
        <f t="shared" ca="1" si="19"/>
        <v>Barcelona</v>
      </c>
      <c r="H128" t="str">
        <f t="shared" ca="1" si="20"/>
        <v>Sea</v>
      </c>
      <c r="I128" t="str">
        <f t="shared" ca="1" si="21"/>
        <v>Maersk</v>
      </c>
      <c r="J128" t="s">
        <v>316</v>
      </c>
      <c r="K128">
        <f t="shared" ca="1" si="22"/>
        <v>2892</v>
      </c>
      <c r="L128">
        <f t="shared" ca="1" si="23"/>
        <v>1908.72</v>
      </c>
      <c r="M128">
        <f t="shared" ca="1" si="24"/>
        <v>12277</v>
      </c>
      <c r="N128">
        <f t="shared" ca="1" si="25"/>
        <v>2165</v>
      </c>
      <c r="O128">
        <f ca="1">Table2[[#This Row],[Delivery Date]]-Table2[[#This Row],[Order date]]</f>
        <v>12</v>
      </c>
      <c r="P128">
        <f ca="1">MAX(0,Table2[[#This Row],[Delivery Date]]-Table2[[#This Row],[Planned Delivery Date]])</f>
        <v>5</v>
      </c>
      <c r="Q128" t="str">
        <f ca="1">IF(Table2[[#This Row],[Delivery Date]]&lt;=Table2[[#This Row],[Planned Delivery Date]],"On Time","Delayed")</f>
        <v>Delayed</v>
      </c>
      <c r="R128">
        <f ca="1">Table2[[#This Row],[Revenue]]-Table2[[#This Row],[Transport Cost]]</f>
        <v>983.28</v>
      </c>
      <c r="S128" s="4">
        <f t="shared" ca="1" si="13"/>
        <v>0.33999999999999997</v>
      </c>
    </row>
    <row r="129" spans="1:19" x14ac:dyDescent="0.2">
      <c r="A129" t="s">
        <v>143</v>
      </c>
      <c r="B129" s="1">
        <f t="shared" ca="1" si="14"/>
        <v>46088</v>
      </c>
      <c r="C129" s="1">
        <f t="shared" ca="1" si="15"/>
        <v>46096</v>
      </c>
      <c r="D129" s="1">
        <f t="shared" ca="1" si="16"/>
        <v>46098</v>
      </c>
      <c r="E129" t="str">
        <f t="shared" ca="1" si="17"/>
        <v>Bosch</v>
      </c>
      <c r="F129" t="str">
        <f t="shared" ca="1" si="18"/>
        <v>Czech Republic</v>
      </c>
      <c r="G129" t="str">
        <f t="shared" ca="1" si="19"/>
        <v>Prague</v>
      </c>
      <c r="H129" t="str">
        <f t="shared" ca="1" si="20"/>
        <v>Road</v>
      </c>
      <c r="I129" t="str">
        <f t="shared" ca="1" si="21"/>
        <v>UPS</v>
      </c>
      <c r="J129" t="s">
        <v>316</v>
      </c>
      <c r="K129">
        <f t="shared" ca="1" si="22"/>
        <v>1596</v>
      </c>
      <c r="L129">
        <f t="shared" ca="1" si="23"/>
        <v>909.72</v>
      </c>
      <c r="M129">
        <f t="shared" ca="1" si="24"/>
        <v>4470</v>
      </c>
      <c r="N129">
        <f t="shared" ca="1" si="25"/>
        <v>765</v>
      </c>
      <c r="O129">
        <f ca="1">Table2[[#This Row],[Delivery Date]]-Table2[[#This Row],[Order date]]</f>
        <v>10</v>
      </c>
      <c r="P129">
        <f ca="1">MAX(0,Table2[[#This Row],[Delivery Date]]-Table2[[#This Row],[Planned Delivery Date]])</f>
        <v>2</v>
      </c>
      <c r="Q129" t="str">
        <f ca="1">IF(Table2[[#This Row],[Delivery Date]]&lt;=Table2[[#This Row],[Planned Delivery Date]],"On Time","Delayed")</f>
        <v>Delayed</v>
      </c>
      <c r="R129">
        <f ca="1">Table2[[#This Row],[Revenue]]-Table2[[#This Row],[Transport Cost]]</f>
        <v>686.28</v>
      </c>
      <c r="S129" s="4">
        <f t="shared" ca="1" si="13"/>
        <v>0.43</v>
      </c>
    </row>
    <row r="130" spans="1:19" x14ac:dyDescent="0.2">
      <c r="A130" t="s">
        <v>144</v>
      </c>
      <c r="B130" s="1">
        <f t="shared" ca="1" si="14"/>
        <v>46085</v>
      </c>
      <c r="C130" s="1">
        <f t="shared" ca="1" si="15"/>
        <v>46087</v>
      </c>
      <c r="D130" s="1">
        <f t="shared" ca="1" si="16"/>
        <v>46092</v>
      </c>
      <c r="E130" t="str">
        <f t="shared" ca="1" si="17"/>
        <v>Decathlon</v>
      </c>
      <c r="F130" t="str">
        <f t="shared" ca="1" si="18"/>
        <v>Czech Republic</v>
      </c>
      <c r="G130" t="str">
        <f t="shared" ca="1" si="19"/>
        <v>Prague</v>
      </c>
      <c r="H130" t="str">
        <f t="shared" ca="1" si="20"/>
        <v>Road</v>
      </c>
      <c r="I130" t="str">
        <f t="shared" ca="1" si="21"/>
        <v>UPS</v>
      </c>
      <c r="J130" t="s">
        <v>316</v>
      </c>
      <c r="K130">
        <f t="shared" ca="1" si="22"/>
        <v>845</v>
      </c>
      <c r="L130">
        <f t="shared" ca="1" si="23"/>
        <v>701.35</v>
      </c>
      <c r="M130">
        <f t="shared" ca="1" si="24"/>
        <v>3274</v>
      </c>
      <c r="N130">
        <f t="shared" ca="1" si="25"/>
        <v>654</v>
      </c>
      <c r="O130">
        <f ca="1">Table2[[#This Row],[Delivery Date]]-Table2[[#This Row],[Order date]]</f>
        <v>7</v>
      </c>
      <c r="P130">
        <f ca="1">MAX(0,Table2[[#This Row],[Delivery Date]]-Table2[[#This Row],[Planned Delivery Date]])</f>
        <v>5</v>
      </c>
      <c r="Q130" t="str">
        <f ca="1">IF(Table2[[#This Row],[Delivery Date]]&lt;=Table2[[#This Row],[Planned Delivery Date]],"On Time","Delayed")</f>
        <v>Delayed</v>
      </c>
      <c r="R130">
        <f ca="1">Table2[[#This Row],[Revenue]]-Table2[[#This Row],[Transport Cost]]</f>
        <v>143.64999999999998</v>
      </c>
      <c r="S130" s="4">
        <f t="shared" ref="S130:S193" ca="1" si="26">IFERROR(R130/K130,0)</f>
        <v>0.16999999999999998</v>
      </c>
    </row>
    <row r="131" spans="1:19" x14ac:dyDescent="0.2">
      <c r="A131" t="s">
        <v>145</v>
      </c>
      <c r="B131" s="1">
        <f t="shared" ref="B131:C194" ca="1" si="27">DATE(2026,1,1)+RANDBETWEEN(0,180)</f>
        <v>46085</v>
      </c>
      <c r="C131" s="1">
        <f t="shared" ref="C131:C194" ca="1" si="28">B131+RANDBETWEEN(2,10)</f>
        <v>46087</v>
      </c>
      <c r="D131" s="1">
        <f t="shared" ref="D131:D194" ca="1" si="29">C131+RANDBETWEEN(-1,5)</f>
        <v>46092</v>
      </c>
      <c r="E131" t="str">
        <f t="shared" ref="E131:E194" ca="1" si="30">CHOOSE(RANDBETWEEN(1,8), "IKEA", "Samsung", "Zara", "Allegro", "Bosch", "Decathlon", "H&amp;M", "Philips")</f>
        <v>Decathlon</v>
      </c>
      <c r="F131" t="str">
        <f t="shared" ref="F131:F194" ca="1" si="31">CHOOSE(RANDBETWEEN(1,6), "Poland", "Germany", "France", "Czech Republic", "Spain", "Italy")</f>
        <v>Poland</v>
      </c>
      <c r="G131" t="str">
        <f t="shared" ref="G131:G194" ca="1" si="32">IF(F131="Poland",CHOOSE(RANDBETWEEN(1,3),"Warsaw","Krakow","Gdansk"),
IF(F131="Germany",CHOOSE(RANDBETWEEN(1,3),"Berlin","Hamburg","Munich"),
IF(F131="Czech Republic","Prague",
IF(F131="Netherlands","Amsterdam",
IF(F131="France",CHOOSE(RANDBETWEEN(1,2),"Paris","Lyon"),
IF(F131="Spain",CHOOSE(RANDBETWEEN(1,2),"Madrid","Barcelona"),
IF(F131="Italy",CHOOSE(RANDBETWEEN(1,2),"Rome","Milan"),"")))))))</f>
        <v>Warsaw</v>
      </c>
      <c r="H131" t="str">
        <f t="shared" ref="H131:H194" ca="1" si="33">CHOOSE(RANDBETWEEN(1,4), "Road", "Air", "Sea", "Rail")</f>
        <v>Rail</v>
      </c>
      <c r="I131" t="str">
        <f t="shared" ref="I131:I194" ca="1" si="34">IF(H131="Sea",CHOOSE(RANDBETWEEN(1,2),"Maersk","Kuehne+Nagel"),
IF(H131="Air",CHOOSE(RANDBETWEEN(1,3),"DHL","UPS","FedEx"),
IF(H131="Rail",CHOOSE(RANDBETWEEN(1,2),"DB Schenker","Kuehne+Nagel"),
IF(H131="Road",CHOOSE(RANDBETWEEN(1,5),"DHL","DB Schenker","UPS","FedEx","GLS"),""))))</f>
        <v>DB Schenker</v>
      </c>
      <c r="J131" t="s">
        <v>316</v>
      </c>
      <c r="K131">
        <f t="shared" ref="K131:K194" ca="1" si="35">IF(H131="Road",RANDBETWEEN(500,2500),IF(H131="Rail",RANDBETWEEN(800,3000),IF(H131="Sea",RANDBETWEEN(1500,5000),IF(H131="Air",RANDBETWEEN(2000,6000),""))))</f>
        <v>1576</v>
      </c>
      <c r="L131">
        <f t="shared" ref="L131:L194" ca="1" si="36">K131*RANDBETWEEN(55,85)/100</f>
        <v>1024.4000000000001</v>
      </c>
      <c r="M131">
        <f t="shared" ref="M131:M194" ca="1" si="37">IF(H131="Air",RANDBETWEEN(50,800),IF(H131="Road",RANDBETWEEN(200,5000),IF(H131="Rail",RANDBETWEEN(1000,10000),IF(H131="Sea",RANDBETWEEN(2000,15000),""))))</f>
        <v>3009</v>
      </c>
      <c r="N131">
        <f t="shared" ref="N131:N194" ca="1" si="38">IF(F131="Poland",RANDBETWEEN(50,600),IF(F131="Germany",RANDBETWEEN(500,1200),IF(F131="Czech Republic",RANDBETWEEN(500,900),IF(F131="Netherlands",RANDBETWEEN(1000,1400),IF(F131="France",RANDBETWEEN(1200,1800),IF(F131="Spain",RANDBETWEEN(2000,2600),IF(F131="Italy",RANDBETWEEN(1200,2000),"")))))))</f>
        <v>360</v>
      </c>
      <c r="O131">
        <f ca="1">Table2[[#This Row],[Delivery Date]]-Table2[[#This Row],[Order date]]</f>
        <v>7</v>
      </c>
      <c r="P131">
        <f ca="1">MAX(0,Table2[[#This Row],[Delivery Date]]-Table2[[#This Row],[Planned Delivery Date]])</f>
        <v>5</v>
      </c>
      <c r="Q131" t="str">
        <f ca="1">IF(Table2[[#This Row],[Delivery Date]]&lt;=Table2[[#This Row],[Planned Delivery Date]],"On Time","Delayed")</f>
        <v>Delayed</v>
      </c>
      <c r="R131">
        <f ca="1">Table2[[#This Row],[Revenue]]-Table2[[#This Row],[Transport Cost]]</f>
        <v>551.59999999999991</v>
      </c>
      <c r="S131" s="4">
        <f t="shared" ca="1" si="26"/>
        <v>0.34999999999999992</v>
      </c>
    </row>
    <row r="132" spans="1:19" x14ac:dyDescent="0.2">
      <c r="A132" t="s">
        <v>146</v>
      </c>
      <c r="B132" s="1">
        <f t="shared" ca="1" si="27"/>
        <v>46100</v>
      </c>
      <c r="C132" s="1">
        <f t="shared" ca="1" si="28"/>
        <v>46102</v>
      </c>
      <c r="D132" s="1">
        <f t="shared" ca="1" si="29"/>
        <v>46103</v>
      </c>
      <c r="E132" t="str">
        <f t="shared" ca="1" si="30"/>
        <v>Philips</v>
      </c>
      <c r="F132" t="str">
        <f t="shared" ca="1" si="31"/>
        <v>Italy</v>
      </c>
      <c r="G132" t="str">
        <f t="shared" ca="1" si="32"/>
        <v>Milan</v>
      </c>
      <c r="H132" t="str">
        <f t="shared" ca="1" si="33"/>
        <v>Sea</v>
      </c>
      <c r="I132" t="str">
        <f t="shared" ca="1" si="34"/>
        <v>Maersk</v>
      </c>
      <c r="J132" t="s">
        <v>316</v>
      </c>
      <c r="K132">
        <f t="shared" ca="1" si="35"/>
        <v>2740</v>
      </c>
      <c r="L132">
        <f t="shared" ca="1" si="36"/>
        <v>2219.4</v>
      </c>
      <c r="M132">
        <f t="shared" ca="1" si="37"/>
        <v>11913</v>
      </c>
      <c r="N132">
        <f t="shared" ca="1" si="38"/>
        <v>1772</v>
      </c>
      <c r="O132">
        <f ca="1">Table2[[#This Row],[Delivery Date]]-Table2[[#This Row],[Order date]]</f>
        <v>3</v>
      </c>
      <c r="P132">
        <f ca="1">MAX(0,Table2[[#This Row],[Delivery Date]]-Table2[[#This Row],[Planned Delivery Date]])</f>
        <v>1</v>
      </c>
      <c r="Q132" t="str">
        <f ca="1">IF(Table2[[#This Row],[Delivery Date]]&lt;=Table2[[#This Row],[Planned Delivery Date]],"On Time","Delayed")</f>
        <v>Delayed</v>
      </c>
      <c r="R132">
        <f ca="1">Table2[[#This Row],[Revenue]]-Table2[[#This Row],[Transport Cost]]</f>
        <v>520.59999999999991</v>
      </c>
      <c r="S132" s="4">
        <f t="shared" ca="1" si="26"/>
        <v>0.18999999999999997</v>
      </c>
    </row>
    <row r="133" spans="1:19" x14ac:dyDescent="0.2">
      <c r="A133" t="s">
        <v>147</v>
      </c>
      <c r="B133" s="1">
        <f t="shared" ca="1" si="27"/>
        <v>46074</v>
      </c>
      <c r="C133" s="1">
        <f t="shared" ca="1" si="28"/>
        <v>46076</v>
      </c>
      <c r="D133" s="1">
        <f t="shared" ca="1" si="29"/>
        <v>46079</v>
      </c>
      <c r="E133" t="str">
        <f t="shared" ca="1" si="30"/>
        <v>H&amp;M</v>
      </c>
      <c r="F133" t="str">
        <f t="shared" ca="1" si="31"/>
        <v>Czech Republic</v>
      </c>
      <c r="G133" t="str">
        <f t="shared" ca="1" si="32"/>
        <v>Prague</v>
      </c>
      <c r="H133" t="str">
        <f t="shared" ca="1" si="33"/>
        <v>Road</v>
      </c>
      <c r="I133" t="str">
        <f t="shared" ca="1" si="34"/>
        <v>DB Schenker</v>
      </c>
      <c r="J133" t="s">
        <v>316</v>
      </c>
      <c r="K133">
        <f t="shared" ca="1" si="35"/>
        <v>1052</v>
      </c>
      <c r="L133">
        <f t="shared" ca="1" si="36"/>
        <v>641.72</v>
      </c>
      <c r="M133">
        <f t="shared" ca="1" si="37"/>
        <v>3209</v>
      </c>
      <c r="N133">
        <f t="shared" ca="1" si="38"/>
        <v>582</v>
      </c>
      <c r="O133">
        <f ca="1">Table2[[#This Row],[Delivery Date]]-Table2[[#This Row],[Order date]]</f>
        <v>5</v>
      </c>
      <c r="P133">
        <f ca="1">MAX(0,Table2[[#This Row],[Delivery Date]]-Table2[[#This Row],[Planned Delivery Date]])</f>
        <v>3</v>
      </c>
      <c r="Q133" t="str">
        <f ca="1">IF(Table2[[#This Row],[Delivery Date]]&lt;=Table2[[#This Row],[Planned Delivery Date]],"On Time","Delayed")</f>
        <v>Delayed</v>
      </c>
      <c r="R133">
        <f ca="1">Table2[[#This Row],[Revenue]]-Table2[[#This Row],[Transport Cost]]</f>
        <v>410.28</v>
      </c>
      <c r="S133" s="4">
        <f t="shared" ca="1" si="26"/>
        <v>0.38999999999999996</v>
      </c>
    </row>
    <row r="134" spans="1:19" x14ac:dyDescent="0.2">
      <c r="A134" t="s">
        <v>148</v>
      </c>
      <c r="B134" s="1">
        <f t="shared" ca="1" si="27"/>
        <v>46056</v>
      </c>
      <c r="C134" s="1">
        <f t="shared" ca="1" si="28"/>
        <v>46061</v>
      </c>
      <c r="D134" s="1">
        <f t="shared" ca="1" si="29"/>
        <v>46062</v>
      </c>
      <c r="E134" t="str">
        <f t="shared" ca="1" si="30"/>
        <v>Philips</v>
      </c>
      <c r="F134" t="str">
        <f t="shared" ca="1" si="31"/>
        <v>Italy</v>
      </c>
      <c r="G134" t="str">
        <f t="shared" ca="1" si="32"/>
        <v>Rome</v>
      </c>
      <c r="H134" t="str">
        <f t="shared" ca="1" si="33"/>
        <v>Road</v>
      </c>
      <c r="I134" t="str">
        <f t="shared" ca="1" si="34"/>
        <v>FedEx</v>
      </c>
      <c r="J134" t="s">
        <v>316</v>
      </c>
      <c r="K134">
        <f t="shared" ca="1" si="35"/>
        <v>1579</v>
      </c>
      <c r="L134">
        <f t="shared" ca="1" si="36"/>
        <v>915.82</v>
      </c>
      <c r="M134">
        <f t="shared" ca="1" si="37"/>
        <v>2924</v>
      </c>
      <c r="N134">
        <f t="shared" ca="1" si="38"/>
        <v>1545</v>
      </c>
      <c r="O134">
        <f ca="1">Table2[[#This Row],[Delivery Date]]-Table2[[#This Row],[Order date]]</f>
        <v>6</v>
      </c>
      <c r="P134">
        <f ca="1">MAX(0,Table2[[#This Row],[Delivery Date]]-Table2[[#This Row],[Planned Delivery Date]])</f>
        <v>1</v>
      </c>
      <c r="Q134" t="str">
        <f ca="1">IF(Table2[[#This Row],[Delivery Date]]&lt;=Table2[[#This Row],[Planned Delivery Date]],"On Time","Delayed")</f>
        <v>Delayed</v>
      </c>
      <c r="R134">
        <f ca="1">Table2[[#This Row],[Revenue]]-Table2[[#This Row],[Transport Cost]]</f>
        <v>663.18</v>
      </c>
      <c r="S134" s="4">
        <f t="shared" ca="1" si="26"/>
        <v>0.42</v>
      </c>
    </row>
    <row r="135" spans="1:19" x14ac:dyDescent="0.2">
      <c r="A135" t="s">
        <v>149</v>
      </c>
      <c r="B135" s="1">
        <f t="shared" ca="1" si="27"/>
        <v>46153</v>
      </c>
      <c r="C135" s="1">
        <f t="shared" ca="1" si="28"/>
        <v>46155</v>
      </c>
      <c r="D135" s="1">
        <f t="shared" ca="1" si="29"/>
        <v>46156</v>
      </c>
      <c r="E135" t="str">
        <f t="shared" ca="1" si="30"/>
        <v>Bosch</v>
      </c>
      <c r="F135" t="str">
        <f t="shared" ca="1" si="31"/>
        <v>Poland</v>
      </c>
      <c r="G135" t="str">
        <f t="shared" ca="1" si="32"/>
        <v>Krakow</v>
      </c>
      <c r="H135" t="str">
        <f t="shared" ca="1" si="33"/>
        <v>Sea</v>
      </c>
      <c r="I135" t="str">
        <f t="shared" ca="1" si="34"/>
        <v>Kuehne+Nagel</v>
      </c>
      <c r="J135" t="s">
        <v>316</v>
      </c>
      <c r="K135">
        <f t="shared" ca="1" si="35"/>
        <v>4223</v>
      </c>
      <c r="L135">
        <f t="shared" ca="1" si="36"/>
        <v>2364.88</v>
      </c>
      <c r="M135">
        <f t="shared" ca="1" si="37"/>
        <v>14636</v>
      </c>
      <c r="N135">
        <f t="shared" ca="1" si="38"/>
        <v>566</v>
      </c>
      <c r="O135">
        <f ca="1">Table2[[#This Row],[Delivery Date]]-Table2[[#This Row],[Order date]]</f>
        <v>3</v>
      </c>
      <c r="P135">
        <f ca="1">MAX(0,Table2[[#This Row],[Delivery Date]]-Table2[[#This Row],[Planned Delivery Date]])</f>
        <v>1</v>
      </c>
      <c r="Q135" t="str">
        <f ca="1">IF(Table2[[#This Row],[Delivery Date]]&lt;=Table2[[#This Row],[Planned Delivery Date]],"On Time","Delayed")</f>
        <v>Delayed</v>
      </c>
      <c r="R135">
        <f ca="1">Table2[[#This Row],[Revenue]]-Table2[[#This Row],[Transport Cost]]</f>
        <v>1858.12</v>
      </c>
      <c r="S135" s="4">
        <f t="shared" ca="1" si="26"/>
        <v>0.43999999999999995</v>
      </c>
    </row>
    <row r="136" spans="1:19" x14ac:dyDescent="0.2">
      <c r="A136" t="s">
        <v>150</v>
      </c>
      <c r="B136" s="1">
        <f t="shared" ca="1" si="27"/>
        <v>46199</v>
      </c>
      <c r="C136" s="1">
        <f t="shared" ca="1" si="28"/>
        <v>46206</v>
      </c>
      <c r="D136" s="1">
        <f t="shared" ca="1" si="29"/>
        <v>46205</v>
      </c>
      <c r="E136" t="str">
        <f t="shared" ca="1" si="30"/>
        <v>Decathlon</v>
      </c>
      <c r="F136" t="str">
        <f t="shared" ca="1" si="31"/>
        <v>Italy</v>
      </c>
      <c r="G136" t="str">
        <f t="shared" ca="1" si="32"/>
        <v>Rome</v>
      </c>
      <c r="H136" t="str">
        <f t="shared" ca="1" si="33"/>
        <v>Sea</v>
      </c>
      <c r="I136" t="str">
        <f t="shared" ca="1" si="34"/>
        <v>Maersk</v>
      </c>
      <c r="J136" t="s">
        <v>316</v>
      </c>
      <c r="K136">
        <f t="shared" ca="1" si="35"/>
        <v>4816</v>
      </c>
      <c r="L136">
        <f t="shared" ca="1" si="36"/>
        <v>2841.44</v>
      </c>
      <c r="M136">
        <f t="shared" ca="1" si="37"/>
        <v>14580</v>
      </c>
      <c r="N136">
        <f t="shared" ca="1" si="38"/>
        <v>1727</v>
      </c>
      <c r="O136">
        <f ca="1">Table2[[#This Row],[Delivery Date]]-Table2[[#This Row],[Order date]]</f>
        <v>6</v>
      </c>
      <c r="P136">
        <f ca="1">MAX(0,Table2[[#This Row],[Delivery Date]]-Table2[[#This Row],[Planned Delivery Date]])</f>
        <v>0</v>
      </c>
      <c r="Q136" t="str">
        <f ca="1">IF(Table2[[#This Row],[Delivery Date]]&lt;=Table2[[#This Row],[Planned Delivery Date]],"On Time","Delayed")</f>
        <v>On Time</v>
      </c>
      <c r="R136">
        <f ca="1">Table2[[#This Row],[Revenue]]-Table2[[#This Row],[Transport Cost]]</f>
        <v>1974.56</v>
      </c>
      <c r="S136" s="4">
        <f t="shared" ca="1" si="26"/>
        <v>0.41</v>
      </c>
    </row>
    <row r="137" spans="1:19" x14ac:dyDescent="0.2">
      <c r="A137" t="s">
        <v>151</v>
      </c>
      <c r="B137" s="1">
        <f t="shared" ca="1" si="27"/>
        <v>46066</v>
      </c>
      <c r="C137" s="1">
        <f t="shared" ca="1" si="28"/>
        <v>46074</v>
      </c>
      <c r="D137" s="1">
        <f t="shared" ca="1" si="29"/>
        <v>46077</v>
      </c>
      <c r="E137" t="str">
        <f t="shared" ca="1" si="30"/>
        <v>Allegro</v>
      </c>
      <c r="F137" t="str">
        <f t="shared" ca="1" si="31"/>
        <v>Italy</v>
      </c>
      <c r="G137" t="str">
        <f t="shared" ca="1" si="32"/>
        <v>Milan</v>
      </c>
      <c r="H137" t="str">
        <f t="shared" ca="1" si="33"/>
        <v>Air</v>
      </c>
      <c r="I137" t="str">
        <f t="shared" ca="1" si="34"/>
        <v>UPS</v>
      </c>
      <c r="J137" t="s">
        <v>316</v>
      </c>
      <c r="K137">
        <f t="shared" ca="1" si="35"/>
        <v>2746</v>
      </c>
      <c r="L137">
        <f t="shared" ca="1" si="36"/>
        <v>2334.1</v>
      </c>
      <c r="M137">
        <f t="shared" ca="1" si="37"/>
        <v>777</v>
      </c>
      <c r="N137">
        <f t="shared" ca="1" si="38"/>
        <v>1714</v>
      </c>
      <c r="O137">
        <f ca="1">Table2[[#This Row],[Delivery Date]]-Table2[[#This Row],[Order date]]</f>
        <v>11</v>
      </c>
      <c r="P137">
        <f ca="1">MAX(0,Table2[[#This Row],[Delivery Date]]-Table2[[#This Row],[Planned Delivery Date]])</f>
        <v>3</v>
      </c>
      <c r="Q137" t="str">
        <f ca="1">IF(Table2[[#This Row],[Delivery Date]]&lt;=Table2[[#This Row],[Planned Delivery Date]],"On Time","Delayed")</f>
        <v>Delayed</v>
      </c>
      <c r="R137">
        <f ca="1">Table2[[#This Row],[Revenue]]-Table2[[#This Row],[Transport Cost]]</f>
        <v>411.90000000000009</v>
      </c>
      <c r="S137" s="4">
        <f t="shared" ca="1" si="26"/>
        <v>0.15000000000000002</v>
      </c>
    </row>
    <row r="138" spans="1:19" x14ac:dyDescent="0.2">
      <c r="A138" t="s">
        <v>152</v>
      </c>
      <c r="B138" s="1">
        <f t="shared" ca="1" si="27"/>
        <v>46092</v>
      </c>
      <c r="C138" s="1">
        <f t="shared" ca="1" si="28"/>
        <v>46095</v>
      </c>
      <c r="D138" s="1">
        <f t="shared" ca="1" si="29"/>
        <v>46099</v>
      </c>
      <c r="E138" t="str">
        <f t="shared" ca="1" si="30"/>
        <v>Zara</v>
      </c>
      <c r="F138" t="str">
        <f t="shared" ca="1" si="31"/>
        <v>Spain</v>
      </c>
      <c r="G138" t="str">
        <f t="shared" ca="1" si="32"/>
        <v>Madrid</v>
      </c>
      <c r="H138" t="str">
        <f t="shared" ca="1" si="33"/>
        <v>Road</v>
      </c>
      <c r="I138" t="str">
        <f t="shared" ca="1" si="34"/>
        <v>UPS</v>
      </c>
      <c r="J138" t="s">
        <v>316</v>
      </c>
      <c r="K138">
        <f t="shared" ca="1" si="35"/>
        <v>2216</v>
      </c>
      <c r="L138">
        <f t="shared" ca="1" si="36"/>
        <v>1351.76</v>
      </c>
      <c r="M138">
        <f t="shared" ca="1" si="37"/>
        <v>4588</v>
      </c>
      <c r="N138">
        <f t="shared" ca="1" si="38"/>
        <v>2231</v>
      </c>
      <c r="O138">
        <f ca="1">Table2[[#This Row],[Delivery Date]]-Table2[[#This Row],[Order date]]</f>
        <v>7</v>
      </c>
      <c r="P138">
        <f ca="1">MAX(0,Table2[[#This Row],[Delivery Date]]-Table2[[#This Row],[Planned Delivery Date]])</f>
        <v>4</v>
      </c>
      <c r="Q138" t="str">
        <f ca="1">IF(Table2[[#This Row],[Delivery Date]]&lt;=Table2[[#This Row],[Planned Delivery Date]],"On Time","Delayed")</f>
        <v>Delayed</v>
      </c>
      <c r="R138">
        <f ca="1">Table2[[#This Row],[Revenue]]-Table2[[#This Row],[Transport Cost]]</f>
        <v>864.24</v>
      </c>
      <c r="S138" s="4">
        <f t="shared" ca="1" si="26"/>
        <v>0.39</v>
      </c>
    </row>
    <row r="139" spans="1:19" x14ac:dyDescent="0.2">
      <c r="A139" t="s">
        <v>153</v>
      </c>
      <c r="B139" s="1">
        <f t="shared" ca="1" si="27"/>
        <v>46118</v>
      </c>
      <c r="C139" s="1">
        <f t="shared" ca="1" si="28"/>
        <v>46126</v>
      </c>
      <c r="D139" s="1">
        <f t="shared" ca="1" si="29"/>
        <v>46127</v>
      </c>
      <c r="E139" t="str">
        <f t="shared" ca="1" si="30"/>
        <v>Decathlon</v>
      </c>
      <c r="F139" t="str">
        <f t="shared" ca="1" si="31"/>
        <v>Czech Republic</v>
      </c>
      <c r="G139" t="str">
        <f t="shared" ca="1" si="32"/>
        <v>Prague</v>
      </c>
      <c r="H139" t="str">
        <f t="shared" ca="1" si="33"/>
        <v>Road</v>
      </c>
      <c r="I139" t="str">
        <f t="shared" ca="1" si="34"/>
        <v>GLS</v>
      </c>
      <c r="J139" t="s">
        <v>316</v>
      </c>
      <c r="K139">
        <f t="shared" ca="1" si="35"/>
        <v>2139</v>
      </c>
      <c r="L139">
        <f t="shared" ca="1" si="36"/>
        <v>1454.52</v>
      </c>
      <c r="M139">
        <f t="shared" ca="1" si="37"/>
        <v>1099</v>
      </c>
      <c r="N139">
        <f t="shared" ca="1" si="38"/>
        <v>734</v>
      </c>
      <c r="O139">
        <f ca="1">Table2[[#This Row],[Delivery Date]]-Table2[[#This Row],[Order date]]</f>
        <v>9</v>
      </c>
      <c r="P139">
        <f ca="1">MAX(0,Table2[[#This Row],[Delivery Date]]-Table2[[#This Row],[Planned Delivery Date]])</f>
        <v>1</v>
      </c>
      <c r="Q139" t="str">
        <f ca="1">IF(Table2[[#This Row],[Delivery Date]]&lt;=Table2[[#This Row],[Planned Delivery Date]],"On Time","Delayed")</f>
        <v>Delayed</v>
      </c>
      <c r="R139">
        <f ca="1">Table2[[#This Row],[Revenue]]-Table2[[#This Row],[Transport Cost]]</f>
        <v>684.48</v>
      </c>
      <c r="S139" s="4">
        <f t="shared" ca="1" si="26"/>
        <v>0.32</v>
      </c>
    </row>
    <row r="140" spans="1:19" x14ac:dyDescent="0.2">
      <c r="A140" t="s">
        <v>154</v>
      </c>
      <c r="B140" s="1">
        <f t="shared" ca="1" si="27"/>
        <v>46118</v>
      </c>
      <c r="C140" s="1">
        <f t="shared" ca="1" si="28"/>
        <v>46127</v>
      </c>
      <c r="D140" s="1">
        <f t="shared" ca="1" si="29"/>
        <v>46130</v>
      </c>
      <c r="E140" t="str">
        <f t="shared" ca="1" si="30"/>
        <v>IKEA</v>
      </c>
      <c r="F140" t="str">
        <f t="shared" ca="1" si="31"/>
        <v>France</v>
      </c>
      <c r="G140" t="str">
        <f t="shared" ca="1" si="32"/>
        <v>Lyon</v>
      </c>
      <c r="H140" t="str">
        <f t="shared" ca="1" si="33"/>
        <v>Sea</v>
      </c>
      <c r="I140" t="str">
        <f t="shared" ca="1" si="34"/>
        <v>Maersk</v>
      </c>
      <c r="J140" t="s">
        <v>316</v>
      </c>
      <c r="K140">
        <f t="shared" ca="1" si="35"/>
        <v>2029</v>
      </c>
      <c r="L140">
        <f t="shared" ca="1" si="36"/>
        <v>1481.17</v>
      </c>
      <c r="M140">
        <f t="shared" ca="1" si="37"/>
        <v>13224</v>
      </c>
      <c r="N140">
        <f t="shared" ca="1" si="38"/>
        <v>1462</v>
      </c>
      <c r="O140">
        <f ca="1">Table2[[#This Row],[Delivery Date]]-Table2[[#This Row],[Order date]]</f>
        <v>12</v>
      </c>
      <c r="P140">
        <f ca="1">MAX(0,Table2[[#This Row],[Delivery Date]]-Table2[[#This Row],[Planned Delivery Date]])</f>
        <v>3</v>
      </c>
      <c r="Q140" t="str">
        <f ca="1">IF(Table2[[#This Row],[Delivery Date]]&lt;=Table2[[#This Row],[Planned Delivery Date]],"On Time","Delayed")</f>
        <v>Delayed</v>
      </c>
      <c r="R140">
        <f ca="1">Table2[[#This Row],[Revenue]]-Table2[[#This Row],[Transport Cost]]</f>
        <v>547.82999999999993</v>
      </c>
      <c r="S140" s="4">
        <f t="shared" ca="1" si="26"/>
        <v>0.26999999999999996</v>
      </c>
    </row>
    <row r="141" spans="1:19" x14ac:dyDescent="0.2">
      <c r="A141" t="s">
        <v>155</v>
      </c>
      <c r="B141" s="1">
        <f t="shared" ca="1" si="27"/>
        <v>46055</v>
      </c>
      <c r="C141" s="1">
        <f t="shared" ca="1" si="28"/>
        <v>46065</v>
      </c>
      <c r="D141" s="1">
        <f t="shared" ca="1" si="29"/>
        <v>46067</v>
      </c>
      <c r="E141" t="str">
        <f t="shared" ca="1" si="30"/>
        <v>Bosch</v>
      </c>
      <c r="F141" t="str">
        <f t="shared" ca="1" si="31"/>
        <v>Italy</v>
      </c>
      <c r="G141" t="str">
        <f t="shared" ca="1" si="32"/>
        <v>Rome</v>
      </c>
      <c r="H141" t="str">
        <f t="shared" ca="1" si="33"/>
        <v>Rail</v>
      </c>
      <c r="I141" t="str">
        <f t="shared" ca="1" si="34"/>
        <v>DB Schenker</v>
      </c>
      <c r="J141" t="s">
        <v>316</v>
      </c>
      <c r="K141">
        <f t="shared" ca="1" si="35"/>
        <v>2616</v>
      </c>
      <c r="L141">
        <f t="shared" ca="1" si="36"/>
        <v>1909.68</v>
      </c>
      <c r="M141">
        <f t="shared" ca="1" si="37"/>
        <v>7986</v>
      </c>
      <c r="N141">
        <f t="shared" ca="1" si="38"/>
        <v>1873</v>
      </c>
      <c r="O141">
        <f ca="1">Table2[[#This Row],[Delivery Date]]-Table2[[#This Row],[Order date]]</f>
        <v>12</v>
      </c>
      <c r="P141">
        <f ca="1">MAX(0,Table2[[#This Row],[Delivery Date]]-Table2[[#This Row],[Planned Delivery Date]])</f>
        <v>2</v>
      </c>
      <c r="Q141" t="str">
        <f ca="1">IF(Table2[[#This Row],[Delivery Date]]&lt;=Table2[[#This Row],[Planned Delivery Date]],"On Time","Delayed")</f>
        <v>Delayed</v>
      </c>
      <c r="R141">
        <f ca="1">Table2[[#This Row],[Revenue]]-Table2[[#This Row],[Transport Cost]]</f>
        <v>706.31999999999994</v>
      </c>
      <c r="S141" s="4">
        <f t="shared" ca="1" si="26"/>
        <v>0.26999999999999996</v>
      </c>
    </row>
    <row r="142" spans="1:19" x14ac:dyDescent="0.2">
      <c r="A142" t="s">
        <v>156</v>
      </c>
      <c r="B142" s="1">
        <f t="shared" ca="1" si="27"/>
        <v>46186</v>
      </c>
      <c r="C142" s="1">
        <f t="shared" ca="1" si="28"/>
        <v>46194</v>
      </c>
      <c r="D142" s="1">
        <f t="shared" ca="1" si="29"/>
        <v>46194</v>
      </c>
      <c r="E142" t="str">
        <f t="shared" ca="1" si="30"/>
        <v>Zara</v>
      </c>
      <c r="F142" t="str">
        <f t="shared" ca="1" si="31"/>
        <v>Germany</v>
      </c>
      <c r="G142" t="str">
        <f t="shared" ca="1" si="32"/>
        <v>Berlin</v>
      </c>
      <c r="H142" t="str">
        <f t="shared" ca="1" si="33"/>
        <v>Road</v>
      </c>
      <c r="I142" t="str">
        <f t="shared" ca="1" si="34"/>
        <v>UPS</v>
      </c>
      <c r="J142" t="s">
        <v>316</v>
      </c>
      <c r="K142">
        <f t="shared" ca="1" si="35"/>
        <v>935</v>
      </c>
      <c r="L142">
        <f t="shared" ca="1" si="36"/>
        <v>729.3</v>
      </c>
      <c r="M142">
        <f t="shared" ca="1" si="37"/>
        <v>395</v>
      </c>
      <c r="N142">
        <f t="shared" ca="1" si="38"/>
        <v>721</v>
      </c>
      <c r="O142">
        <f ca="1">Table2[[#This Row],[Delivery Date]]-Table2[[#This Row],[Order date]]</f>
        <v>8</v>
      </c>
      <c r="P142">
        <f ca="1">MAX(0,Table2[[#This Row],[Delivery Date]]-Table2[[#This Row],[Planned Delivery Date]])</f>
        <v>0</v>
      </c>
      <c r="Q142" t="str">
        <f ca="1">IF(Table2[[#This Row],[Delivery Date]]&lt;=Table2[[#This Row],[Planned Delivery Date]],"On Time","Delayed")</f>
        <v>On Time</v>
      </c>
      <c r="R142">
        <f ca="1">Table2[[#This Row],[Revenue]]-Table2[[#This Row],[Transport Cost]]</f>
        <v>205.70000000000005</v>
      </c>
      <c r="S142" s="4">
        <f t="shared" ca="1" si="26"/>
        <v>0.22000000000000006</v>
      </c>
    </row>
    <row r="143" spans="1:19" x14ac:dyDescent="0.2">
      <c r="A143" t="s">
        <v>157</v>
      </c>
      <c r="B143" s="1">
        <f t="shared" ca="1" si="27"/>
        <v>46033</v>
      </c>
      <c r="C143" s="1">
        <f t="shared" ca="1" si="28"/>
        <v>46036</v>
      </c>
      <c r="D143" s="1">
        <f t="shared" ca="1" si="29"/>
        <v>46035</v>
      </c>
      <c r="E143" t="str">
        <f t="shared" ca="1" si="30"/>
        <v>Decathlon</v>
      </c>
      <c r="F143" t="str">
        <f t="shared" ca="1" si="31"/>
        <v>Spain</v>
      </c>
      <c r="G143" t="str">
        <f t="shared" ca="1" si="32"/>
        <v>Barcelona</v>
      </c>
      <c r="H143" t="str">
        <f t="shared" ca="1" si="33"/>
        <v>Sea</v>
      </c>
      <c r="I143" t="str">
        <f t="shared" ca="1" si="34"/>
        <v>Kuehne+Nagel</v>
      </c>
      <c r="J143" t="s">
        <v>316</v>
      </c>
      <c r="K143">
        <f t="shared" ca="1" si="35"/>
        <v>4954</v>
      </c>
      <c r="L143">
        <f t="shared" ca="1" si="36"/>
        <v>3864.12</v>
      </c>
      <c r="M143">
        <f t="shared" ca="1" si="37"/>
        <v>6400</v>
      </c>
      <c r="N143">
        <f t="shared" ca="1" si="38"/>
        <v>2128</v>
      </c>
      <c r="O143">
        <f ca="1">Table2[[#This Row],[Delivery Date]]-Table2[[#This Row],[Order date]]</f>
        <v>2</v>
      </c>
      <c r="P143">
        <f ca="1">MAX(0,Table2[[#This Row],[Delivery Date]]-Table2[[#This Row],[Planned Delivery Date]])</f>
        <v>0</v>
      </c>
      <c r="Q143" t="str">
        <f ca="1">IF(Table2[[#This Row],[Delivery Date]]&lt;=Table2[[#This Row],[Planned Delivery Date]],"On Time","Delayed")</f>
        <v>On Time</v>
      </c>
      <c r="R143">
        <f ca="1">Table2[[#This Row],[Revenue]]-Table2[[#This Row],[Transport Cost]]</f>
        <v>1089.8800000000001</v>
      </c>
      <c r="S143" s="4">
        <f t="shared" ca="1" si="26"/>
        <v>0.22000000000000003</v>
      </c>
    </row>
    <row r="144" spans="1:19" x14ac:dyDescent="0.2">
      <c r="A144" t="s">
        <v>158</v>
      </c>
      <c r="B144" s="1">
        <f t="shared" ca="1" si="27"/>
        <v>46074</v>
      </c>
      <c r="C144" s="1">
        <f t="shared" ca="1" si="28"/>
        <v>46082</v>
      </c>
      <c r="D144" s="1">
        <f t="shared" ca="1" si="29"/>
        <v>46081</v>
      </c>
      <c r="E144" t="str">
        <f t="shared" ca="1" si="30"/>
        <v>Philips</v>
      </c>
      <c r="F144" t="str">
        <f t="shared" ca="1" si="31"/>
        <v>Poland</v>
      </c>
      <c r="G144" t="str">
        <f t="shared" ca="1" si="32"/>
        <v>Krakow</v>
      </c>
      <c r="H144" t="str">
        <f t="shared" ca="1" si="33"/>
        <v>Rail</v>
      </c>
      <c r="I144" t="str">
        <f t="shared" ca="1" si="34"/>
        <v>DB Schenker</v>
      </c>
      <c r="J144" t="s">
        <v>316</v>
      </c>
      <c r="K144">
        <f t="shared" ca="1" si="35"/>
        <v>1947</v>
      </c>
      <c r="L144">
        <f t="shared" ca="1" si="36"/>
        <v>1401.84</v>
      </c>
      <c r="M144">
        <f t="shared" ca="1" si="37"/>
        <v>1933</v>
      </c>
      <c r="N144">
        <f t="shared" ca="1" si="38"/>
        <v>169</v>
      </c>
      <c r="O144">
        <f ca="1">Table2[[#This Row],[Delivery Date]]-Table2[[#This Row],[Order date]]</f>
        <v>7</v>
      </c>
      <c r="P144">
        <f ca="1">MAX(0,Table2[[#This Row],[Delivery Date]]-Table2[[#This Row],[Planned Delivery Date]])</f>
        <v>0</v>
      </c>
      <c r="Q144" t="str">
        <f ca="1">IF(Table2[[#This Row],[Delivery Date]]&lt;=Table2[[#This Row],[Planned Delivery Date]],"On Time","Delayed")</f>
        <v>On Time</v>
      </c>
      <c r="R144">
        <f ca="1">Table2[[#This Row],[Revenue]]-Table2[[#This Row],[Transport Cost]]</f>
        <v>545.16000000000008</v>
      </c>
      <c r="S144" s="4">
        <f t="shared" ca="1" si="26"/>
        <v>0.28000000000000003</v>
      </c>
    </row>
    <row r="145" spans="1:19" x14ac:dyDescent="0.2">
      <c r="A145" t="s">
        <v>159</v>
      </c>
      <c r="B145" s="1">
        <f t="shared" ca="1" si="27"/>
        <v>46092</v>
      </c>
      <c r="C145" s="1">
        <f t="shared" ca="1" si="28"/>
        <v>46100</v>
      </c>
      <c r="D145" s="1">
        <f t="shared" ca="1" si="29"/>
        <v>46104</v>
      </c>
      <c r="E145" t="str">
        <f t="shared" ca="1" si="30"/>
        <v>IKEA</v>
      </c>
      <c r="F145" t="str">
        <f t="shared" ca="1" si="31"/>
        <v>Czech Republic</v>
      </c>
      <c r="G145" t="str">
        <f t="shared" ca="1" si="32"/>
        <v>Prague</v>
      </c>
      <c r="H145" t="str">
        <f t="shared" ca="1" si="33"/>
        <v>Rail</v>
      </c>
      <c r="I145" t="str">
        <f t="shared" ca="1" si="34"/>
        <v>Kuehne+Nagel</v>
      </c>
      <c r="J145" t="s">
        <v>316</v>
      </c>
      <c r="K145">
        <f t="shared" ca="1" si="35"/>
        <v>2221</v>
      </c>
      <c r="L145">
        <f t="shared" ca="1" si="36"/>
        <v>1377.02</v>
      </c>
      <c r="M145">
        <f t="shared" ca="1" si="37"/>
        <v>3152</v>
      </c>
      <c r="N145">
        <f t="shared" ca="1" si="38"/>
        <v>893</v>
      </c>
      <c r="O145">
        <f ca="1">Table2[[#This Row],[Delivery Date]]-Table2[[#This Row],[Order date]]</f>
        <v>12</v>
      </c>
      <c r="P145">
        <f ca="1">MAX(0,Table2[[#This Row],[Delivery Date]]-Table2[[#This Row],[Planned Delivery Date]])</f>
        <v>4</v>
      </c>
      <c r="Q145" t="str">
        <f ca="1">IF(Table2[[#This Row],[Delivery Date]]&lt;=Table2[[#This Row],[Planned Delivery Date]],"On Time","Delayed")</f>
        <v>Delayed</v>
      </c>
      <c r="R145">
        <f ca="1">Table2[[#This Row],[Revenue]]-Table2[[#This Row],[Transport Cost]]</f>
        <v>843.98</v>
      </c>
      <c r="S145" s="4">
        <f t="shared" ca="1" si="26"/>
        <v>0.38</v>
      </c>
    </row>
    <row r="146" spans="1:19" x14ac:dyDescent="0.2">
      <c r="A146" t="s">
        <v>160</v>
      </c>
      <c r="B146" s="1">
        <f t="shared" ca="1" si="27"/>
        <v>46088</v>
      </c>
      <c r="C146" s="1">
        <f t="shared" ca="1" si="28"/>
        <v>46094</v>
      </c>
      <c r="D146" s="1">
        <f t="shared" ca="1" si="29"/>
        <v>46098</v>
      </c>
      <c r="E146" t="str">
        <f t="shared" ca="1" si="30"/>
        <v>IKEA</v>
      </c>
      <c r="F146" t="str">
        <f t="shared" ca="1" si="31"/>
        <v>France</v>
      </c>
      <c r="G146" t="str">
        <f t="shared" ca="1" si="32"/>
        <v>Lyon</v>
      </c>
      <c r="H146" t="str">
        <f t="shared" ca="1" si="33"/>
        <v>Air</v>
      </c>
      <c r="I146" t="str">
        <f t="shared" ca="1" si="34"/>
        <v>UPS</v>
      </c>
      <c r="J146" t="s">
        <v>316</v>
      </c>
      <c r="K146">
        <f t="shared" ca="1" si="35"/>
        <v>5701</v>
      </c>
      <c r="L146">
        <f t="shared" ca="1" si="36"/>
        <v>3477.61</v>
      </c>
      <c r="M146">
        <f t="shared" ca="1" si="37"/>
        <v>80</v>
      </c>
      <c r="N146">
        <f t="shared" ca="1" si="38"/>
        <v>1674</v>
      </c>
      <c r="O146">
        <f ca="1">Table2[[#This Row],[Delivery Date]]-Table2[[#This Row],[Order date]]</f>
        <v>10</v>
      </c>
      <c r="P146">
        <f ca="1">MAX(0,Table2[[#This Row],[Delivery Date]]-Table2[[#This Row],[Planned Delivery Date]])</f>
        <v>4</v>
      </c>
      <c r="Q146" t="str">
        <f ca="1">IF(Table2[[#This Row],[Delivery Date]]&lt;=Table2[[#This Row],[Planned Delivery Date]],"On Time","Delayed")</f>
        <v>Delayed</v>
      </c>
      <c r="R146">
        <f ca="1">Table2[[#This Row],[Revenue]]-Table2[[#This Row],[Transport Cost]]</f>
        <v>2223.39</v>
      </c>
      <c r="S146" s="4">
        <f t="shared" ca="1" si="26"/>
        <v>0.38999999999999996</v>
      </c>
    </row>
    <row r="147" spans="1:19" x14ac:dyDescent="0.2">
      <c r="A147" t="s">
        <v>161</v>
      </c>
      <c r="B147" s="1">
        <f t="shared" ca="1" si="27"/>
        <v>46131</v>
      </c>
      <c r="C147" s="1">
        <f t="shared" ca="1" si="28"/>
        <v>46138</v>
      </c>
      <c r="D147" s="1">
        <f t="shared" ca="1" si="29"/>
        <v>46138</v>
      </c>
      <c r="E147" t="str">
        <f t="shared" ca="1" si="30"/>
        <v>Zara</v>
      </c>
      <c r="F147" t="str">
        <f t="shared" ca="1" si="31"/>
        <v>Germany</v>
      </c>
      <c r="G147" t="str">
        <f t="shared" ca="1" si="32"/>
        <v>Berlin</v>
      </c>
      <c r="H147" t="str">
        <f t="shared" ca="1" si="33"/>
        <v>Road</v>
      </c>
      <c r="I147" t="str">
        <f t="shared" ca="1" si="34"/>
        <v>UPS</v>
      </c>
      <c r="J147" t="s">
        <v>316</v>
      </c>
      <c r="K147">
        <f t="shared" ca="1" si="35"/>
        <v>1683</v>
      </c>
      <c r="L147">
        <f t="shared" ca="1" si="36"/>
        <v>1144.44</v>
      </c>
      <c r="M147">
        <f t="shared" ca="1" si="37"/>
        <v>2312</v>
      </c>
      <c r="N147">
        <f t="shared" ca="1" si="38"/>
        <v>528</v>
      </c>
      <c r="O147">
        <f ca="1">Table2[[#This Row],[Delivery Date]]-Table2[[#This Row],[Order date]]</f>
        <v>7</v>
      </c>
      <c r="P147">
        <f ca="1">MAX(0,Table2[[#This Row],[Delivery Date]]-Table2[[#This Row],[Planned Delivery Date]])</f>
        <v>0</v>
      </c>
      <c r="Q147" t="str">
        <f ca="1">IF(Table2[[#This Row],[Delivery Date]]&lt;=Table2[[#This Row],[Planned Delivery Date]],"On Time","Delayed")</f>
        <v>On Time</v>
      </c>
      <c r="R147">
        <f ca="1">Table2[[#This Row],[Revenue]]-Table2[[#This Row],[Transport Cost]]</f>
        <v>538.55999999999995</v>
      </c>
      <c r="S147" s="4">
        <f t="shared" ca="1" si="26"/>
        <v>0.31999999999999995</v>
      </c>
    </row>
    <row r="148" spans="1:19" x14ac:dyDescent="0.2">
      <c r="A148" t="s">
        <v>162</v>
      </c>
      <c r="B148" s="1">
        <f t="shared" ca="1" si="27"/>
        <v>46184</v>
      </c>
      <c r="C148" s="1">
        <f t="shared" ca="1" si="28"/>
        <v>46187</v>
      </c>
      <c r="D148" s="1">
        <f t="shared" ca="1" si="29"/>
        <v>46189</v>
      </c>
      <c r="E148" t="str">
        <f t="shared" ca="1" si="30"/>
        <v>Bosch</v>
      </c>
      <c r="F148" t="str">
        <f t="shared" ca="1" si="31"/>
        <v>Germany</v>
      </c>
      <c r="G148" t="str">
        <f t="shared" ca="1" si="32"/>
        <v>Berlin</v>
      </c>
      <c r="H148" t="str">
        <f t="shared" ca="1" si="33"/>
        <v>Rail</v>
      </c>
      <c r="I148" t="str">
        <f t="shared" ca="1" si="34"/>
        <v>DB Schenker</v>
      </c>
      <c r="J148" t="s">
        <v>316</v>
      </c>
      <c r="K148">
        <f t="shared" ca="1" si="35"/>
        <v>962</v>
      </c>
      <c r="L148">
        <f t="shared" ca="1" si="36"/>
        <v>731.12</v>
      </c>
      <c r="M148">
        <f t="shared" ca="1" si="37"/>
        <v>1794</v>
      </c>
      <c r="N148">
        <f t="shared" ca="1" si="38"/>
        <v>887</v>
      </c>
      <c r="O148">
        <f ca="1">Table2[[#This Row],[Delivery Date]]-Table2[[#This Row],[Order date]]</f>
        <v>5</v>
      </c>
      <c r="P148">
        <f ca="1">MAX(0,Table2[[#This Row],[Delivery Date]]-Table2[[#This Row],[Planned Delivery Date]])</f>
        <v>2</v>
      </c>
      <c r="Q148" t="str">
        <f ca="1">IF(Table2[[#This Row],[Delivery Date]]&lt;=Table2[[#This Row],[Planned Delivery Date]],"On Time","Delayed")</f>
        <v>Delayed</v>
      </c>
      <c r="R148">
        <f ca="1">Table2[[#This Row],[Revenue]]-Table2[[#This Row],[Transport Cost]]</f>
        <v>230.88</v>
      </c>
      <c r="S148" s="4">
        <f t="shared" ca="1" si="26"/>
        <v>0.24</v>
      </c>
    </row>
    <row r="149" spans="1:19" x14ac:dyDescent="0.2">
      <c r="A149" t="s">
        <v>163</v>
      </c>
      <c r="B149" s="1">
        <f t="shared" ca="1" si="27"/>
        <v>46178</v>
      </c>
      <c r="C149" s="1">
        <f t="shared" ca="1" si="28"/>
        <v>46180</v>
      </c>
      <c r="D149" s="1">
        <f t="shared" ca="1" si="29"/>
        <v>46180</v>
      </c>
      <c r="E149" t="str">
        <f t="shared" ca="1" si="30"/>
        <v>Zara</v>
      </c>
      <c r="F149" t="str">
        <f t="shared" ca="1" si="31"/>
        <v>Germany</v>
      </c>
      <c r="G149" t="str">
        <f t="shared" ca="1" si="32"/>
        <v>Hamburg</v>
      </c>
      <c r="H149" t="str">
        <f t="shared" ca="1" si="33"/>
        <v>Air</v>
      </c>
      <c r="I149" t="str">
        <f t="shared" ca="1" si="34"/>
        <v>UPS</v>
      </c>
      <c r="J149" t="s">
        <v>316</v>
      </c>
      <c r="K149">
        <f t="shared" ca="1" si="35"/>
        <v>2166</v>
      </c>
      <c r="L149">
        <f t="shared" ca="1" si="36"/>
        <v>1472.88</v>
      </c>
      <c r="M149">
        <f t="shared" ca="1" si="37"/>
        <v>691</v>
      </c>
      <c r="N149">
        <f t="shared" ca="1" si="38"/>
        <v>1064</v>
      </c>
      <c r="O149">
        <f ca="1">Table2[[#This Row],[Delivery Date]]-Table2[[#This Row],[Order date]]</f>
        <v>2</v>
      </c>
      <c r="P149">
        <f ca="1">MAX(0,Table2[[#This Row],[Delivery Date]]-Table2[[#This Row],[Planned Delivery Date]])</f>
        <v>0</v>
      </c>
      <c r="Q149" t="str">
        <f ca="1">IF(Table2[[#This Row],[Delivery Date]]&lt;=Table2[[#This Row],[Planned Delivery Date]],"On Time","Delayed")</f>
        <v>On Time</v>
      </c>
      <c r="R149">
        <f ca="1">Table2[[#This Row],[Revenue]]-Table2[[#This Row],[Transport Cost]]</f>
        <v>693.11999999999989</v>
      </c>
      <c r="S149" s="4">
        <f t="shared" ca="1" si="26"/>
        <v>0.31999999999999995</v>
      </c>
    </row>
    <row r="150" spans="1:19" x14ac:dyDescent="0.2">
      <c r="A150" t="s">
        <v>164</v>
      </c>
      <c r="B150" s="1">
        <f t="shared" ca="1" si="27"/>
        <v>46132</v>
      </c>
      <c r="C150" s="1">
        <f t="shared" ca="1" si="28"/>
        <v>46142</v>
      </c>
      <c r="D150" s="1">
        <f t="shared" ca="1" si="29"/>
        <v>46147</v>
      </c>
      <c r="E150" t="str">
        <f t="shared" ca="1" si="30"/>
        <v>Samsung</v>
      </c>
      <c r="F150" t="str">
        <f t="shared" ca="1" si="31"/>
        <v>Czech Republic</v>
      </c>
      <c r="G150" t="str">
        <f t="shared" ca="1" si="32"/>
        <v>Prague</v>
      </c>
      <c r="H150" t="str">
        <f t="shared" ca="1" si="33"/>
        <v>Sea</v>
      </c>
      <c r="I150" t="str">
        <f t="shared" ca="1" si="34"/>
        <v>Kuehne+Nagel</v>
      </c>
      <c r="J150" t="s">
        <v>316</v>
      </c>
      <c r="K150">
        <f t="shared" ca="1" si="35"/>
        <v>2108</v>
      </c>
      <c r="L150">
        <f t="shared" ca="1" si="36"/>
        <v>1665.32</v>
      </c>
      <c r="M150">
        <f t="shared" ca="1" si="37"/>
        <v>9356</v>
      </c>
      <c r="N150">
        <f t="shared" ca="1" si="38"/>
        <v>548</v>
      </c>
      <c r="O150">
        <f ca="1">Table2[[#This Row],[Delivery Date]]-Table2[[#This Row],[Order date]]</f>
        <v>15</v>
      </c>
      <c r="P150">
        <f ca="1">MAX(0,Table2[[#This Row],[Delivery Date]]-Table2[[#This Row],[Planned Delivery Date]])</f>
        <v>5</v>
      </c>
      <c r="Q150" t="str">
        <f ca="1">IF(Table2[[#This Row],[Delivery Date]]&lt;=Table2[[#This Row],[Planned Delivery Date]],"On Time","Delayed")</f>
        <v>Delayed</v>
      </c>
      <c r="R150">
        <f ca="1">Table2[[#This Row],[Revenue]]-Table2[[#This Row],[Transport Cost]]</f>
        <v>442.68000000000006</v>
      </c>
      <c r="S150" s="4">
        <f t="shared" ca="1" si="26"/>
        <v>0.21000000000000002</v>
      </c>
    </row>
    <row r="151" spans="1:19" x14ac:dyDescent="0.2">
      <c r="A151" t="s">
        <v>165</v>
      </c>
      <c r="B151" s="1">
        <f t="shared" ca="1" si="27"/>
        <v>46174</v>
      </c>
      <c r="C151" s="1">
        <f t="shared" ca="1" si="28"/>
        <v>46178</v>
      </c>
      <c r="D151" s="1">
        <f t="shared" ca="1" si="29"/>
        <v>46182</v>
      </c>
      <c r="E151" t="str">
        <f t="shared" ca="1" si="30"/>
        <v>IKEA</v>
      </c>
      <c r="F151" t="str">
        <f t="shared" ca="1" si="31"/>
        <v>Poland</v>
      </c>
      <c r="G151" t="str">
        <f t="shared" ca="1" si="32"/>
        <v>Gdansk</v>
      </c>
      <c r="H151" t="str">
        <f t="shared" ca="1" si="33"/>
        <v>Sea</v>
      </c>
      <c r="I151" t="str">
        <f t="shared" ca="1" si="34"/>
        <v>Kuehne+Nagel</v>
      </c>
      <c r="J151" t="s">
        <v>316</v>
      </c>
      <c r="K151">
        <f t="shared" ca="1" si="35"/>
        <v>2417</v>
      </c>
      <c r="L151">
        <f t="shared" ca="1" si="36"/>
        <v>1498.54</v>
      </c>
      <c r="M151">
        <f t="shared" ca="1" si="37"/>
        <v>6322</v>
      </c>
      <c r="N151">
        <f t="shared" ca="1" si="38"/>
        <v>317</v>
      </c>
      <c r="O151">
        <f ca="1">Table2[[#This Row],[Delivery Date]]-Table2[[#This Row],[Order date]]</f>
        <v>8</v>
      </c>
      <c r="P151">
        <f ca="1">MAX(0,Table2[[#This Row],[Delivery Date]]-Table2[[#This Row],[Planned Delivery Date]])</f>
        <v>4</v>
      </c>
      <c r="Q151" t="str">
        <f ca="1">IF(Table2[[#This Row],[Delivery Date]]&lt;=Table2[[#This Row],[Planned Delivery Date]],"On Time","Delayed")</f>
        <v>Delayed</v>
      </c>
      <c r="R151">
        <f ca="1">Table2[[#This Row],[Revenue]]-Table2[[#This Row],[Transport Cost]]</f>
        <v>918.46</v>
      </c>
      <c r="S151" s="4">
        <f t="shared" ca="1" si="26"/>
        <v>0.38</v>
      </c>
    </row>
    <row r="152" spans="1:19" x14ac:dyDescent="0.2">
      <c r="A152" t="s">
        <v>166</v>
      </c>
      <c r="B152" s="1">
        <f t="shared" ca="1" si="27"/>
        <v>46080</v>
      </c>
      <c r="C152" s="1">
        <f t="shared" ca="1" si="28"/>
        <v>46083</v>
      </c>
      <c r="D152" s="1">
        <f t="shared" ca="1" si="29"/>
        <v>46085</v>
      </c>
      <c r="E152" t="str">
        <f t="shared" ca="1" si="30"/>
        <v>Allegro</v>
      </c>
      <c r="F152" t="str">
        <f t="shared" ca="1" si="31"/>
        <v>Poland</v>
      </c>
      <c r="G152" t="str">
        <f t="shared" ca="1" si="32"/>
        <v>Gdansk</v>
      </c>
      <c r="H152" t="str">
        <f t="shared" ca="1" si="33"/>
        <v>Road</v>
      </c>
      <c r="I152" t="str">
        <f t="shared" ca="1" si="34"/>
        <v>GLS</v>
      </c>
      <c r="J152" t="s">
        <v>316</v>
      </c>
      <c r="K152">
        <f t="shared" ca="1" si="35"/>
        <v>1982</v>
      </c>
      <c r="L152">
        <f t="shared" ca="1" si="36"/>
        <v>1545.96</v>
      </c>
      <c r="M152">
        <f t="shared" ca="1" si="37"/>
        <v>3831</v>
      </c>
      <c r="N152">
        <f t="shared" ca="1" si="38"/>
        <v>373</v>
      </c>
      <c r="O152">
        <f ca="1">Table2[[#This Row],[Delivery Date]]-Table2[[#This Row],[Order date]]</f>
        <v>5</v>
      </c>
      <c r="P152">
        <f ca="1">MAX(0,Table2[[#This Row],[Delivery Date]]-Table2[[#This Row],[Planned Delivery Date]])</f>
        <v>2</v>
      </c>
      <c r="Q152" t="str">
        <f ca="1">IF(Table2[[#This Row],[Delivery Date]]&lt;=Table2[[#This Row],[Planned Delivery Date]],"On Time","Delayed")</f>
        <v>Delayed</v>
      </c>
      <c r="R152">
        <f ca="1">Table2[[#This Row],[Revenue]]-Table2[[#This Row],[Transport Cost]]</f>
        <v>436.03999999999996</v>
      </c>
      <c r="S152" s="4">
        <f t="shared" ca="1" si="26"/>
        <v>0.21999999999999997</v>
      </c>
    </row>
    <row r="153" spans="1:19" x14ac:dyDescent="0.2">
      <c r="A153" t="s">
        <v>167</v>
      </c>
      <c r="B153" s="1">
        <f t="shared" ca="1" si="27"/>
        <v>46178</v>
      </c>
      <c r="C153" s="1">
        <f t="shared" ca="1" si="28"/>
        <v>46181</v>
      </c>
      <c r="D153" s="1">
        <f t="shared" ca="1" si="29"/>
        <v>46184</v>
      </c>
      <c r="E153" t="str">
        <f t="shared" ca="1" si="30"/>
        <v>H&amp;M</v>
      </c>
      <c r="F153" t="str">
        <f t="shared" ca="1" si="31"/>
        <v>Poland</v>
      </c>
      <c r="G153" t="str">
        <f t="shared" ca="1" si="32"/>
        <v>Warsaw</v>
      </c>
      <c r="H153" t="str">
        <f t="shared" ca="1" si="33"/>
        <v>Rail</v>
      </c>
      <c r="I153" t="str">
        <f t="shared" ca="1" si="34"/>
        <v>DB Schenker</v>
      </c>
      <c r="J153" t="s">
        <v>316</v>
      </c>
      <c r="K153">
        <f t="shared" ca="1" si="35"/>
        <v>815</v>
      </c>
      <c r="L153">
        <f t="shared" ca="1" si="36"/>
        <v>619.4</v>
      </c>
      <c r="M153">
        <f t="shared" ca="1" si="37"/>
        <v>6649</v>
      </c>
      <c r="N153">
        <f t="shared" ca="1" si="38"/>
        <v>232</v>
      </c>
      <c r="O153">
        <f ca="1">Table2[[#This Row],[Delivery Date]]-Table2[[#This Row],[Order date]]</f>
        <v>6</v>
      </c>
      <c r="P153">
        <f ca="1">MAX(0,Table2[[#This Row],[Delivery Date]]-Table2[[#This Row],[Planned Delivery Date]])</f>
        <v>3</v>
      </c>
      <c r="Q153" t="str">
        <f ca="1">IF(Table2[[#This Row],[Delivery Date]]&lt;=Table2[[#This Row],[Planned Delivery Date]],"On Time","Delayed")</f>
        <v>Delayed</v>
      </c>
      <c r="R153">
        <f ca="1">Table2[[#This Row],[Revenue]]-Table2[[#This Row],[Transport Cost]]</f>
        <v>195.60000000000002</v>
      </c>
      <c r="S153" s="4">
        <f t="shared" ca="1" si="26"/>
        <v>0.24000000000000002</v>
      </c>
    </row>
    <row r="154" spans="1:19" x14ac:dyDescent="0.2">
      <c r="A154" t="s">
        <v>168</v>
      </c>
      <c r="B154" s="1">
        <f t="shared" ca="1" si="27"/>
        <v>46173</v>
      </c>
      <c r="C154" s="1">
        <f t="shared" ca="1" si="28"/>
        <v>46180</v>
      </c>
      <c r="D154" s="1">
        <f t="shared" ca="1" si="29"/>
        <v>46185</v>
      </c>
      <c r="E154" t="str">
        <f t="shared" ca="1" si="30"/>
        <v>IKEA</v>
      </c>
      <c r="F154" t="str">
        <f t="shared" ca="1" si="31"/>
        <v>France</v>
      </c>
      <c r="G154" t="str">
        <f t="shared" ca="1" si="32"/>
        <v>Lyon</v>
      </c>
      <c r="H154" t="str">
        <f t="shared" ca="1" si="33"/>
        <v>Air</v>
      </c>
      <c r="I154" t="str">
        <f t="shared" ca="1" si="34"/>
        <v>UPS</v>
      </c>
      <c r="J154" t="s">
        <v>316</v>
      </c>
      <c r="K154">
        <f t="shared" ca="1" si="35"/>
        <v>5871</v>
      </c>
      <c r="L154">
        <f t="shared" ca="1" si="36"/>
        <v>4227.12</v>
      </c>
      <c r="M154">
        <f t="shared" ca="1" si="37"/>
        <v>410</v>
      </c>
      <c r="N154">
        <f t="shared" ca="1" si="38"/>
        <v>1370</v>
      </c>
      <c r="O154">
        <f ca="1">Table2[[#This Row],[Delivery Date]]-Table2[[#This Row],[Order date]]</f>
        <v>12</v>
      </c>
      <c r="P154">
        <f ca="1">MAX(0,Table2[[#This Row],[Delivery Date]]-Table2[[#This Row],[Planned Delivery Date]])</f>
        <v>5</v>
      </c>
      <c r="Q154" t="str">
        <f ca="1">IF(Table2[[#This Row],[Delivery Date]]&lt;=Table2[[#This Row],[Planned Delivery Date]],"On Time","Delayed")</f>
        <v>Delayed</v>
      </c>
      <c r="R154">
        <f ca="1">Table2[[#This Row],[Revenue]]-Table2[[#This Row],[Transport Cost]]</f>
        <v>1643.88</v>
      </c>
      <c r="S154" s="4">
        <f t="shared" ca="1" si="26"/>
        <v>0.28000000000000003</v>
      </c>
    </row>
    <row r="155" spans="1:19" x14ac:dyDescent="0.2">
      <c r="A155" t="s">
        <v>169</v>
      </c>
      <c r="B155" s="1">
        <f t="shared" ca="1" si="27"/>
        <v>46094</v>
      </c>
      <c r="C155" s="1">
        <f t="shared" ca="1" si="28"/>
        <v>46104</v>
      </c>
      <c r="D155" s="1">
        <f t="shared" ca="1" si="29"/>
        <v>46107</v>
      </c>
      <c r="E155" t="str">
        <f t="shared" ca="1" si="30"/>
        <v>Philips</v>
      </c>
      <c r="F155" t="str">
        <f t="shared" ca="1" si="31"/>
        <v>Italy</v>
      </c>
      <c r="G155" t="str">
        <f t="shared" ca="1" si="32"/>
        <v>Rome</v>
      </c>
      <c r="H155" t="str">
        <f t="shared" ca="1" si="33"/>
        <v>Air</v>
      </c>
      <c r="I155" t="str">
        <f t="shared" ca="1" si="34"/>
        <v>UPS</v>
      </c>
      <c r="J155" t="s">
        <v>316</v>
      </c>
      <c r="K155">
        <f t="shared" ca="1" si="35"/>
        <v>2384</v>
      </c>
      <c r="L155">
        <f t="shared" ca="1" si="36"/>
        <v>1644.96</v>
      </c>
      <c r="M155">
        <f t="shared" ca="1" si="37"/>
        <v>437</v>
      </c>
      <c r="N155">
        <f t="shared" ca="1" si="38"/>
        <v>1726</v>
      </c>
      <c r="O155">
        <f ca="1">Table2[[#This Row],[Delivery Date]]-Table2[[#This Row],[Order date]]</f>
        <v>13</v>
      </c>
      <c r="P155">
        <f ca="1">MAX(0,Table2[[#This Row],[Delivery Date]]-Table2[[#This Row],[Planned Delivery Date]])</f>
        <v>3</v>
      </c>
      <c r="Q155" t="str">
        <f ca="1">IF(Table2[[#This Row],[Delivery Date]]&lt;=Table2[[#This Row],[Planned Delivery Date]],"On Time","Delayed")</f>
        <v>Delayed</v>
      </c>
      <c r="R155">
        <f ca="1">Table2[[#This Row],[Revenue]]-Table2[[#This Row],[Transport Cost]]</f>
        <v>739.04</v>
      </c>
      <c r="S155" s="4">
        <f t="shared" ca="1" si="26"/>
        <v>0.31</v>
      </c>
    </row>
    <row r="156" spans="1:19" x14ac:dyDescent="0.2">
      <c r="A156" t="s">
        <v>170</v>
      </c>
      <c r="B156" s="1">
        <f t="shared" ca="1" si="27"/>
        <v>46045</v>
      </c>
      <c r="C156" s="1">
        <f t="shared" ca="1" si="28"/>
        <v>46051</v>
      </c>
      <c r="D156" s="1">
        <f t="shared" ca="1" si="29"/>
        <v>46055</v>
      </c>
      <c r="E156" t="str">
        <f t="shared" ca="1" si="30"/>
        <v>Samsung</v>
      </c>
      <c r="F156" t="str">
        <f t="shared" ca="1" si="31"/>
        <v>Poland</v>
      </c>
      <c r="G156" t="str">
        <f t="shared" ca="1" si="32"/>
        <v>Krakow</v>
      </c>
      <c r="H156" t="str">
        <f t="shared" ca="1" si="33"/>
        <v>Road</v>
      </c>
      <c r="I156" t="str">
        <f t="shared" ca="1" si="34"/>
        <v>FedEx</v>
      </c>
      <c r="J156" t="s">
        <v>316</v>
      </c>
      <c r="K156">
        <f t="shared" ca="1" si="35"/>
        <v>1729</v>
      </c>
      <c r="L156">
        <f t="shared" ca="1" si="36"/>
        <v>1400.49</v>
      </c>
      <c r="M156">
        <f t="shared" ca="1" si="37"/>
        <v>4656</v>
      </c>
      <c r="N156">
        <f t="shared" ca="1" si="38"/>
        <v>355</v>
      </c>
      <c r="O156">
        <f ca="1">Table2[[#This Row],[Delivery Date]]-Table2[[#This Row],[Order date]]</f>
        <v>10</v>
      </c>
      <c r="P156">
        <f ca="1">MAX(0,Table2[[#This Row],[Delivery Date]]-Table2[[#This Row],[Planned Delivery Date]])</f>
        <v>4</v>
      </c>
      <c r="Q156" t="str">
        <f ca="1">IF(Table2[[#This Row],[Delivery Date]]&lt;=Table2[[#This Row],[Planned Delivery Date]],"On Time","Delayed")</f>
        <v>Delayed</v>
      </c>
      <c r="R156">
        <f ca="1">Table2[[#This Row],[Revenue]]-Table2[[#This Row],[Transport Cost]]</f>
        <v>328.51</v>
      </c>
      <c r="S156" s="4">
        <f t="shared" ca="1" si="26"/>
        <v>0.19</v>
      </c>
    </row>
    <row r="157" spans="1:19" x14ac:dyDescent="0.2">
      <c r="A157" t="s">
        <v>171</v>
      </c>
      <c r="B157" s="1">
        <f t="shared" ca="1" si="27"/>
        <v>46038</v>
      </c>
      <c r="C157" s="1">
        <f t="shared" ca="1" si="28"/>
        <v>46040</v>
      </c>
      <c r="D157" s="1">
        <f t="shared" ca="1" si="29"/>
        <v>46039</v>
      </c>
      <c r="E157" t="str">
        <f t="shared" ca="1" si="30"/>
        <v>Zara</v>
      </c>
      <c r="F157" t="str">
        <f t="shared" ca="1" si="31"/>
        <v>Spain</v>
      </c>
      <c r="G157" t="str">
        <f t="shared" ca="1" si="32"/>
        <v>Barcelona</v>
      </c>
      <c r="H157" t="str">
        <f t="shared" ca="1" si="33"/>
        <v>Road</v>
      </c>
      <c r="I157" t="str">
        <f t="shared" ca="1" si="34"/>
        <v>DB Schenker</v>
      </c>
      <c r="J157" t="s">
        <v>316</v>
      </c>
      <c r="K157">
        <f t="shared" ca="1" si="35"/>
        <v>2270</v>
      </c>
      <c r="L157">
        <f t="shared" ca="1" si="36"/>
        <v>1384.7</v>
      </c>
      <c r="M157">
        <f t="shared" ca="1" si="37"/>
        <v>2108</v>
      </c>
      <c r="N157">
        <f t="shared" ca="1" si="38"/>
        <v>2547</v>
      </c>
      <c r="O157">
        <f ca="1">Table2[[#This Row],[Delivery Date]]-Table2[[#This Row],[Order date]]</f>
        <v>1</v>
      </c>
      <c r="P157">
        <f ca="1">MAX(0,Table2[[#This Row],[Delivery Date]]-Table2[[#This Row],[Planned Delivery Date]])</f>
        <v>0</v>
      </c>
      <c r="Q157" t="str">
        <f ca="1">IF(Table2[[#This Row],[Delivery Date]]&lt;=Table2[[#This Row],[Planned Delivery Date]],"On Time","Delayed")</f>
        <v>On Time</v>
      </c>
      <c r="R157">
        <f ca="1">Table2[[#This Row],[Revenue]]-Table2[[#This Row],[Transport Cost]]</f>
        <v>885.3</v>
      </c>
      <c r="S157" s="4">
        <f t="shared" ca="1" si="26"/>
        <v>0.38999999999999996</v>
      </c>
    </row>
    <row r="158" spans="1:19" x14ac:dyDescent="0.2">
      <c r="A158" t="s">
        <v>172</v>
      </c>
      <c r="B158" s="1">
        <f t="shared" ca="1" si="27"/>
        <v>46143</v>
      </c>
      <c r="C158" s="1">
        <f t="shared" ca="1" si="28"/>
        <v>46148</v>
      </c>
      <c r="D158" s="1">
        <f t="shared" ca="1" si="29"/>
        <v>46150</v>
      </c>
      <c r="E158" t="str">
        <f t="shared" ca="1" si="30"/>
        <v>Allegro</v>
      </c>
      <c r="F158" t="str">
        <f t="shared" ca="1" si="31"/>
        <v>Spain</v>
      </c>
      <c r="G158" t="str">
        <f t="shared" ca="1" si="32"/>
        <v>Barcelona</v>
      </c>
      <c r="H158" t="str">
        <f t="shared" ca="1" si="33"/>
        <v>Rail</v>
      </c>
      <c r="I158" t="str">
        <f t="shared" ca="1" si="34"/>
        <v>DB Schenker</v>
      </c>
      <c r="J158" t="s">
        <v>316</v>
      </c>
      <c r="K158">
        <f t="shared" ca="1" si="35"/>
        <v>862</v>
      </c>
      <c r="L158">
        <f t="shared" ca="1" si="36"/>
        <v>612.02</v>
      </c>
      <c r="M158">
        <f t="shared" ca="1" si="37"/>
        <v>9814</v>
      </c>
      <c r="N158">
        <f t="shared" ca="1" si="38"/>
        <v>2524</v>
      </c>
      <c r="O158">
        <f ca="1">Table2[[#This Row],[Delivery Date]]-Table2[[#This Row],[Order date]]</f>
        <v>7</v>
      </c>
      <c r="P158">
        <f ca="1">MAX(0,Table2[[#This Row],[Delivery Date]]-Table2[[#This Row],[Planned Delivery Date]])</f>
        <v>2</v>
      </c>
      <c r="Q158" t="str">
        <f ca="1">IF(Table2[[#This Row],[Delivery Date]]&lt;=Table2[[#This Row],[Planned Delivery Date]],"On Time","Delayed")</f>
        <v>Delayed</v>
      </c>
      <c r="R158">
        <f ca="1">Table2[[#This Row],[Revenue]]-Table2[[#This Row],[Transport Cost]]</f>
        <v>249.98000000000002</v>
      </c>
      <c r="S158" s="4">
        <f t="shared" ca="1" si="26"/>
        <v>0.29000000000000004</v>
      </c>
    </row>
    <row r="159" spans="1:19" x14ac:dyDescent="0.2">
      <c r="A159" t="s">
        <v>173</v>
      </c>
      <c r="B159" s="1">
        <f t="shared" ca="1" si="27"/>
        <v>46148</v>
      </c>
      <c r="C159" s="1">
        <f t="shared" ca="1" si="28"/>
        <v>46154</v>
      </c>
      <c r="D159" s="1">
        <f t="shared" ca="1" si="29"/>
        <v>46158</v>
      </c>
      <c r="E159" t="str">
        <f t="shared" ca="1" si="30"/>
        <v>Samsung</v>
      </c>
      <c r="F159" t="str">
        <f t="shared" ca="1" si="31"/>
        <v>Czech Republic</v>
      </c>
      <c r="G159" t="str">
        <f t="shared" ca="1" si="32"/>
        <v>Prague</v>
      </c>
      <c r="H159" t="str">
        <f t="shared" ca="1" si="33"/>
        <v>Sea</v>
      </c>
      <c r="I159" t="str">
        <f t="shared" ca="1" si="34"/>
        <v>Maersk</v>
      </c>
      <c r="J159" t="s">
        <v>316</v>
      </c>
      <c r="K159">
        <f t="shared" ca="1" si="35"/>
        <v>3383</v>
      </c>
      <c r="L159">
        <f t="shared" ca="1" si="36"/>
        <v>2706.4</v>
      </c>
      <c r="M159">
        <f t="shared" ca="1" si="37"/>
        <v>2008</v>
      </c>
      <c r="N159">
        <f t="shared" ca="1" si="38"/>
        <v>580</v>
      </c>
      <c r="O159">
        <f ca="1">Table2[[#This Row],[Delivery Date]]-Table2[[#This Row],[Order date]]</f>
        <v>10</v>
      </c>
      <c r="P159">
        <f ca="1">MAX(0,Table2[[#This Row],[Delivery Date]]-Table2[[#This Row],[Planned Delivery Date]])</f>
        <v>4</v>
      </c>
      <c r="Q159" t="str">
        <f ca="1">IF(Table2[[#This Row],[Delivery Date]]&lt;=Table2[[#This Row],[Planned Delivery Date]],"On Time","Delayed")</f>
        <v>Delayed</v>
      </c>
      <c r="R159">
        <f ca="1">Table2[[#This Row],[Revenue]]-Table2[[#This Row],[Transport Cost]]</f>
        <v>676.59999999999991</v>
      </c>
      <c r="S159" s="4">
        <f t="shared" ca="1" si="26"/>
        <v>0.19999999999999998</v>
      </c>
    </row>
    <row r="160" spans="1:19" x14ac:dyDescent="0.2">
      <c r="A160" t="s">
        <v>174</v>
      </c>
      <c r="B160" s="1">
        <f t="shared" ca="1" si="27"/>
        <v>46109</v>
      </c>
      <c r="C160" s="1">
        <f t="shared" ca="1" si="28"/>
        <v>46114</v>
      </c>
      <c r="D160" s="1">
        <f t="shared" ca="1" si="29"/>
        <v>46119</v>
      </c>
      <c r="E160" t="str">
        <f t="shared" ca="1" si="30"/>
        <v>Zara</v>
      </c>
      <c r="F160" t="str">
        <f t="shared" ca="1" si="31"/>
        <v>Poland</v>
      </c>
      <c r="G160" t="str">
        <f t="shared" ca="1" si="32"/>
        <v>Warsaw</v>
      </c>
      <c r="H160" t="str">
        <f t="shared" ca="1" si="33"/>
        <v>Road</v>
      </c>
      <c r="I160" t="str">
        <f t="shared" ca="1" si="34"/>
        <v>UPS</v>
      </c>
      <c r="J160" t="s">
        <v>316</v>
      </c>
      <c r="K160">
        <f t="shared" ca="1" si="35"/>
        <v>689</v>
      </c>
      <c r="L160">
        <f t="shared" ca="1" si="36"/>
        <v>461.63</v>
      </c>
      <c r="M160">
        <f t="shared" ca="1" si="37"/>
        <v>1554</v>
      </c>
      <c r="N160">
        <f t="shared" ca="1" si="38"/>
        <v>249</v>
      </c>
      <c r="O160">
        <f ca="1">Table2[[#This Row],[Delivery Date]]-Table2[[#This Row],[Order date]]</f>
        <v>10</v>
      </c>
      <c r="P160">
        <f ca="1">MAX(0,Table2[[#This Row],[Delivery Date]]-Table2[[#This Row],[Planned Delivery Date]])</f>
        <v>5</v>
      </c>
      <c r="Q160" t="str">
        <f ca="1">IF(Table2[[#This Row],[Delivery Date]]&lt;=Table2[[#This Row],[Planned Delivery Date]],"On Time","Delayed")</f>
        <v>Delayed</v>
      </c>
      <c r="R160">
        <f ca="1">Table2[[#This Row],[Revenue]]-Table2[[#This Row],[Transport Cost]]</f>
        <v>227.37</v>
      </c>
      <c r="S160" s="4">
        <f t="shared" ca="1" si="26"/>
        <v>0.33</v>
      </c>
    </row>
    <row r="161" spans="1:19" x14ac:dyDescent="0.2">
      <c r="A161" t="s">
        <v>175</v>
      </c>
      <c r="B161" s="1">
        <f t="shared" ca="1" si="27"/>
        <v>46159</v>
      </c>
      <c r="C161" s="1">
        <f t="shared" ca="1" si="28"/>
        <v>46167</v>
      </c>
      <c r="D161" s="1">
        <f t="shared" ca="1" si="29"/>
        <v>46169</v>
      </c>
      <c r="E161" t="str">
        <f t="shared" ca="1" si="30"/>
        <v>Zara</v>
      </c>
      <c r="F161" t="str">
        <f t="shared" ca="1" si="31"/>
        <v>Spain</v>
      </c>
      <c r="G161" t="str">
        <f t="shared" ca="1" si="32"/>
        <v>Barcelona</v>
      </c>
      <c r="H161" t="str">
        <f t="shared" ca="1" si="33"/>
        <v>Road</v>
      </c>
      <c r="I161" t="str">
        <f t="shared" ca="1" si="34"/>
        <v>DHL</v>
      </c>
      <c r="J161" t="s">
        <v>316</v>
      </c>
      <c r="K161">
        <f t="shared" ca="1" si="35"/>
        <v>1122</v>
      </c>
      <c r="L161">
        <f t="shared" ca="1" si="36"/>
        <v>875.16</v>
      </c>
      <c r="M161">
        <f t="shared" ca="1" si="37"/>
        <v>4055</v>
      </c>
      <c r="N161">
        <f t="shared" ca="1" si="38"/>
        <v>2251</v>
      </c>
      <c r="O161">
        <f ca="1">Table2[[#This Row],[Delivery Date]]-Table2[[#This Row],[Order date]]</f>
        <v>10</v>
      </c>
      <c r="P161">
        <f ca="1">MAX(0,Table2[[#This Row],[Delivery Date]]-Table2[[#This Row],[Planned Delivery Date]])</f>
        <v>2</v>
      </c>
      <c r="Q161" t="str">
        <f ca="1">IF(Table2[[#This Row],[Delivery Date]]&lt;=Table2[[#This Row],[Planned Delivery Date]],"On Time","Delayed")</f>
        <v>Delayed</v>
      </c>
      <c r="R161">
        <f ca="1">Table2[[#This Row],[Revenue]]-Table2[[#This Row],[Transport Cost]]</f>
        <v>246.84000000000003</v>
      </c>
      <c r="S161" s="4">
        <f t="shared" ca="1" si="26"/>
        <v>0.22000000000000003</v>
      </c>
    </row>
    <row r="162" spans="1:19" x14ac:dyDescent="0.2">
      <c r="A162" t="s">
        <v>176</v>
      </c>
      <c r="B162" s="1">
        <f t="shared" ca="1" si="27"/>
        <v>46079</v>
      </c>
      <c r="C162" s="1">
        <f t="shared" ca="1" si="28"/>
        <v>46089</v>
      </c>
      <c r="D162" s="1">
        <f t="shared" ca="1" si="29"/>
        <v>46094</v>
      </c>
      <c r="E162" t="str">
        <f t="shared" ca="1" si="30"/>
        <v>IKEA</v>
      </c>
      <c r="F162" t="str">
        <f t="shared" ca="1" si="31"/>
        <v>Poland</v>
      </c>
      <c r="G162" t="str">
        <f t="shared" ca="1" si="32"/>
        <v>Warsaw</v>
      </c>
      <c r="H162" t="str">
        <f t="shared" ca="1" si="33"/>
        <v>Rail</v>
      </c>
      <c r="I162" t="str">
        <f t="shared" ca="1" si="34"/>
        <v>DB Schenker</v>
      </c>
      <c r="J162" t="s">
        <v>316</v>
      </c>
      <c r="K162">
        <f t="shared" ca="1" si="35"/>
        <v>2460</v>
      </c>
      <c r="L162">
        <f t="shared" ca="1" si="36"/>
        <v>1353</v>
      </c>
      <c r="M162">
        <f t="shared" ca="1" si="37"/>
        <v>1763</v>
      </c>
      <c r="N162">
        <f t="shared" ca="1" si="38"/>
        <v>481</v>
      </c>
      <c r="O162">
        <f ca="1">Table2[[#This Row],[Delivery Date]]-Table2[[#This Row],[Order date]]</f>
        <v>15</v>
      </c>
      <c r="P162">
        <f ca="1">MAX(0,Table2[[#This Row],[Delivery Date]]-Table2[[#This Row],[Planned Delivery Date]])</f>
        <v>5</v>
      </c>
      <c r="Q162" t="str">
        <f ca="1">IF(Table2[[#This Row],[Delivery Date]]&lt;=Table2[[#This Row],[Planned Delivery Date]],"On Time","Delayed")</f>
        <v>Delayed</v>
      </c>
      <c r="R162">
        <f ca="1">Table2[[#This Row],[Revenue]]-Table2[[#This Row],[Transport Cost]]</f>
        <v>1107</v>
      </c>
      <c r="S162" s="4">
        <f t="shared" ca="1" si="26"/>
        <v>0.45</v>
      </c>
    </row>
    <row r="163" spans="1:19" x14ac:dyDescent="0.2">
      <c r="A163" t="s">
        <v>177</v>
      </c>
      <c r="B163" s="1">
        <f t="shared" ca="1" si="27"/>
        <v>46111</v>
      </c>
      <c r="C163" s="1">
        <f t="shared" ca="1" si="28"/>
        <v>46120</v>
      </c>
      <c r="D163" s="1">
        <f t="shared" ca="1" si="29"/>
        <v>46119</v>
      </c>
      <c r="E163" t="str">
        <f t="shared" ca="1" si="30"/>
        <v>IKEA</v>
      </c>
      <c r="F163" t="str">
        <f t="shared" ca="1" si="31"/>
        <v>Czech Republic</v>
      </c>
      <c r="G163" t="str">
        <f t="shared" ca="1" si="32"/>
        <v>Prague</v>
      </c>
      <c r="H163" t="str">
        <f t="shared" ca="1" si="33"/>
        <v>Air</v>
      </c>
      <c r="I163" t="str">
        <f t="shared" ca="1" si="34"/>
        <v>DHL</v>
      </c>
      <c r="J163" t="s">
        <v>316</v>
      </c>
      <c r="K163">
        <f t="shared" ca="1" si="35"/>
        <v>4990</v>
      </c>
      <c r="L163">
        <f t="shared" ca="1" si="36"/>
        <v>3542.9</v>
      </c>
      <c r="M163">
        <f t="shared" ca="1" si="37"/>
        <v>297</v>
      </c>
      <c r="N163">
        <f t="shared" ca="1" si="38"/>
        <v>582</v>
      </c>
      <c r="O163">
        <f ca="1">Table2[[#This Row],[Delivery Date]]-Table2[[#This Row],[Order date]]</f>
        <v>8</v>
      </c>
      <c r="P163">
        <f ca="1">MAX(0,Table2[[#This Row],[Delivery Date]]-Table2[[#This Row],[Planned Delivery Date]])</f>
        <v>0</v>
      </c>
      <c r="Q163" t="str">
        <f ca="1">IF(Table2[[#This Row],[Delivery Date]]&lt;=Table2[[#This Row],[Planned Delivery Date]],"On Time","Delayed")</f>
        <v>On Time</v>
      </c>
      <c r="R163">
        <f ca="1">Table2[[#This Row],[Revenue]]-Table2[[#This Row],[Transport Cost]]</f>
        <v>1447.1</v>
      </c>
      <c r="S163" s="4">
        <f t="shared" ca="1" si="26"/>
        <v>0.28999999999999998</v>
      </c>
    </row>
    <row r="164" spans="1:19" x14ac:dyDescent="0.2">
      <c r="A164" t="s">
        <v>178</v>
      </c>
      <c r="B164" s="1">
        <f t="shared" ca="1" si="27"/>
        <v>46063</v>
      </c>
      <c r="C164" s="1">
        <f t="shared" ca="1" si="28"/>
        <v>46065</v>
      </c>
      <c r="D164" s="1">
        <f t="shared" ca="1" si="29"/>
        <v>46069</v>
      </c>
      <c r="E164" t="str">
        <f t="shared" ca="1" si="30"/>
        <v>H&amp;M</v>
      </c>
      <c r="F164" t="str">
        <f t="shared" ca="1" si="31"/>
        <v>Italy</v>
      </c>
      <c r="G164" t="str">
        <f t="shared" ca="1" si="32"/>
        <v>Rome</v>
      </c>
      <c r="H164" t="str">
        <f t="shared" ca="1" si="33"/>
        <v>Air</v>
      </c>
      <c r="I164" t="str">
        <f t="shared" ca="1" si="34"/>
        <v>UPS</v>
      </c>
      <c r="J164" t="s">
        <v>316</v>
      </c>
      <c r="K164">
        <f t="shared" ca="1" si="35"/>
        <v>2757</v>
      </c>
      <c r="L164">
        <f t="shared" ca="1" si="36"/>
        <v>2288.31</v>
      </c>
      <c r="M164">
        <f t="shared" ca="1" si="37"/>
        <v>528</v>
      </c>
      <c r="N164">
        <f t="shared" ca="1" si="38"/>
        <v>1618</v>
      </c>
      <c r="O164">
        <f ca="1">Table2[[#This Row],[Delivery Date]]-Table2[[#This Row],[Order date]]</f>
        <v>6</v>
      </c>
      <c r="P164">
        <f ca="1">MAX(0,Table2[[#This Row],[Delivery Date]]-Table2[[#This Row],[Planned Delivery Date]])</f>
        <v>4</v>
      </c>
      <c r="Q164" t="str">
        <f ca="1">IF(Table2[[#This Row],[Delivery Date]]&lt;=Table2[[#This Row],[Planned Delivery Date]],"On Time","Delayed")</f>
        <v>Delayed</v>
      </c>
      <c r="R164">
        <f ca="1">Table2[[#This Row],[Revenue]]-Table2[[#This Row],[Transport Cost]]</f>
        <v>468.69000000000005</v>
      </c>
      <c r="S164" s="4">
        <f t="shared" ca="1" si="26"/>
        <v>0.17</v>
      </c>
    </row>
    <row r="165" spans="1:19" x14ac:dyDescent="0.2">
      <c r="A165" t="s">
        <v>179</v>
      </c>
      <c r="B165" s="1">
        <f t="shared" ca="1" si="27"/>
        <v>46132</v>
      </c>
      <c r="C165" s="1">
        <f t="shared" ca="1" si="28"/>
        <v>46139</v>
      </c>
      <c r="D165" s="1">
        <f t="shared" ca="1" si="29"/>
        <v>46138</v>
      </c>
      <c r="E165" t="str">
        <f t="shared" ca="1" si="30"/>
        <v>Zara</v>
      </c>
      <c r="F165" t="str">
        <f t="shared" ca="1" si="31"/>
        <v>Poland</v>
      </c>
      <c r="G165" t="str">
        <f t="shared" ca="1" si="32"/>
        <v>Warsaw</v>
      </c>
      <c r="H165" t="str">
        <f t="shared" ca="1" si="33"/>
        <v>Sea</v>
      </c>
      <c r="I165" t="str">
        <f t="shared" ca="1" si="34"/>
        <v>Maersk</v>
      </c>
      <c r="J165" t="s">
        <v>316</v>
      </c>
      <c r="K165">
        <f t="shared" ca="1" si="35"/>
        <v>2202</v>
      </c>
      <c r="L165">
        <f t="shared" ca="1" si="36"/>
        <v>1431.3</v>
      </c>
      <c r="M165">
        <f t="shared" ca="1" si="37"/>
        <v>6914</v>
      </c>
      <c r="N165">
        <f t="shared" ca="1" si="38"/>
        <v>499</v>
      </c>
      <c r="O165">
        <f ca="1">Table2[[#This Row],[Delivery Date]]-Table2[[#This Row],[Order date]]</f>
        <v>6</v>
      </c>
      <c r="P165">
        <f ca="1">MAX(0,Table2[[#This Row],[Delivery Date]]-Table2[[#This Row],[Planned Delivery Date]])</f>
        <v>0</v>
      </c>
      <c r="Q165" t="str">
        <f ca="1">IF(Table2[[#This Row],[Delivery Date]]&lt;=Table2[[#This Row],[Planned Delivery Date]],"On Time","Delayed")</f>
        <v>On Time</v>
      </c>
      <c r="R165">
        <f ca="1">Table2[[#This Row],[Revenue]]-Table2[[#This Row],[Transport Cost]]</f>
        <v>770.7</v>
      </c>
      <c r="S165" s="4">
        <f t="shared" ca="1" si="26"/>
        <v>0.35000000000000003</v>
      </c>
    </row>
    <row r="166" spans="1:19" x14ac:dyDescent="0.2">
      <c r="A166" t="s">
        <v>180</v>
      </c>
      <c r="B166" s="1">
        <f t="shared" ca="1" si="27"/>
        <v>46128</v>
      </c>
      <c r="C166" s="1">
        <f t="shared" ca="1" si="28"/>
        <v>46137</v>
      </c>
      <c r="D166" s="1">
        <f t="shared" ca="1" si="29"/>
        <v>46141</v>
      </c>
      <c r="E166" t="str">
        <f t="shared" ca="1" si="30"/>
        <v>Samsung</v>
      </c>
      <c r="F166" t="str">
        <f t="shared" ca="1" si="31"/>
        <v>Spain</v>
      </c>
      <c r="G166" t="str">
        <f t="shared" ca="1" si="32"/>
        <v>Madrid</v>
      </c>
      <c r="H166" t="str">
        <f t="shared" ca="1" si="33"/>
        <v>Sea</v>
      </c>
      <c r="I166" t="str">
        <f t="shared" ca="1" si="34"/>
        <v>Kuehne+Nagel</v>
      </c>
      <c r="J166" t="s">
        <v>316</v>
      </c>
      <c r="K166">
        <f t="shared" ca="1" si="35"/>
        <v>4856</v>
      </c>
      <c r="L166">
        <f t="shared" ca="1" si="36"/>
        <v>3399.2</v>
      </c>
      <c r="M166">
        <f t="shared" ca="1" si="37"/>
        <v>5264</v>
      </c>
      <c r="N166">
        <f t="shared" ca="1" si="38"/>
        <v>2483</v>
      </c>
      <c r="O166">
        <f ca="1">Table2[[#This Row],[Delivery Date]]-Table2[[#This Row],[Order date]]</f>
        <v>13</v>
      </c>
      <c r="P166">
        <f ca="1">MAX(0,Table2[[#This Row],[Delivery Date]]-Table2[[#This Row],[Planned Delivery Date]])</f>
        <v>4</v>
      </c>
      <c r="Q166" t="str">
        <f ca="1">IF(Table2[[#This Row],[Delivery Date]]&lt;=Table2[[#This Row],[Planned Delivery Date]],"On Time","Delayed")</f>
        <v>Delayed</v>
      </c>
      <c r="R166">
        <f ca="1">Table2[[#This Row],[Revenue]]-Table2[[#This Row],[Transport Cost]]</f>
        <v>1456.8000000000002</v>
      </c>
      <c r="S166" s="4">
        <f t="shared" ca="1" si="26"/>
        <v>0.30000000000000004</v>
      </c>
    </row>
    <row r="167" spans="1:19" x14ac:dyDescent="0.2">
      <c r="A167" t="s">
        <v>181</v>
      </c>
      <c r="B167" s="1">
        <f t="shared" ca="1" si="27"/>
        <v>46183</v>
      </c>
      <c r="C167" s="1">
        <f t="shared" ca="1" si="28"/>
        <v>46186</v>
      </c>
      <c r="D167" s="1">
        <f t="shared" ca="1" si="29"/>
        <v>46188</v>
      </c>
      <c r="E167" t="str">
        <f t="shared" ca="1" si="30"/>
        <v>Samsung</v>
      </c>
      <c r="F167" t="str">
        <f t="shared" ca="1" si="31"/>
        <v>Czech Republic</v>
      </c>
      <c r="G167" t="str">
        <f t="shared" ca="1" si="32"/>
        <v>Prague</v>
      </c>
      <c r="H167" t="str">
        <f t="shared" ca="1" si="33"/>
        <v>Sea</v>
      </c>
      <c r="I167" t="str">
        <f t="shared" ca="1" si="34"/>
        <v>Kuehne+Nagel</v>
      </c>
      <c r="J167" t="s">
        <v>316</v>
      </c>
      <c r="K167">
        <f t="shared" ca="1" si="35"/>
        <v>1830</v>
      </c>
      <c r="L167">
        <f t="shared" ca="1" si="36"/>
        <v>1152.9000000000001</v>
      </c>
      <c r="M167">
        <f t="shared" ca="1" si="37"/>
        <v>9740</v>
      </c>
      <c r="N167">
        <f t="shared" ca="1" si="38"/>
        <v>569</v>
      </c>
      <c r="O167">
        <f ca="1">Table2[[#This Row],[Delivery Date]]-Table2[[#This Row],[Order date]]</f>
        <v>5</v>
      </c>
      <c r="P167">
        <f ca="1">MAX(0,Table2[[#This Row],[Delivery Date]]-Table2[[#This Row],[Planned Delivery Date]])</f>
        <v>2</v>
      </c>
      <c r="Q167" t="str">
        <f ca="1">IF(Table2[[#This Row],[Delivery Date]]&lt;=Table2[[#This Row],[Planned Delivery Date]],"On Time","Delayed")</f>
        <v>Delayed</v>
      </c>
      <c r="R167">
        <f ca="1">Table2[[#This Row],[Revenue]]-Table2[[#This Row],[Transport Cost]]</f>
        <v>677.09999999999991</v>
      </c>
      <c r="S167" s="4">
        <f t="shared" ca="1" si="26"/>
        <v>0.36999999999999994</v>
      </c>
    </row>
    <row r="168" spans="1:19" x14ac:dyDescent="0.2">
      <c r="A168" t="s">
        <v>182</v>
      </c>
      <c r="B168" s="1">
        <f t="shared" ca="1" si="27"/>
        <v>46085</v>
      </c>
      <c r="C168" s="1">
        <f t="shared" ca="1" si="28"/>
        <v>46094</v>
      </c>
      <c r="D168" s="1">
        <f t="shared" ca="1" si="29"/>
        <v>46097</v>
      </c>
      <c r="E168" t="str">
        <f t="shared" ca="1" si="30"/>
        <v>H&amp;M</v>
      </c>
      <c r="F168" t="str">
        <f t="shared" ca="1" si="31"/>
        <v>France</v>
      </c>
      <c r="G168" t="str">
        <f t="shared" ca="1" si="32"/>
        <v>Paris</v>
      </c>
      <c r="H168" t="str">
        <f t="shared" ca="1" si="33"/>
        <v>Rail</v>
      </c>
      <c r="I168" t="str">
        <f t="shared" ca="1" si="34"/>
        <v>DB Schenker</v>
      </c>
      <c r="J168" t="s">
        <v>316</v>
      </c>
      <c r="K168">
        <f t="shared" ca="1" si="35"/>
        <v>1506</v>
      </c>
      <c r="L168">
        <f t="shared" ca="1" si="36"/>
        <v>963.84</v>
      </c>
      <c r="M168">
        <f t="shared" ca="1" si="37"/>
        <v>9187</v>
      </c>
      <c r="N168">
        <f t="shared" ca="1" si="38"/>
        <v>1786</v>
      </c>
      <c r="O168">
        <f ca="1">Table2[[#This Row],[Delivery Date]]-Table2[[#This Row],[Order date]]</f>
        <v>12</v>
      </c>
      <c r="P168">
        <f ca="1">MAX(0,Table2[[#This Row],[Delivery Date]]-Table2[[#This Row],[Planned Delivery Date]])</f>
        <v>3</v>
      </c>
      <c r="Q168" t="str">
        <f ca="1">IF(Table2[[#This Row],[Delivery Date]]&lt;=Table2[[#This Row],[Planned Delivery Date]],"On Time","Delayed")</f>
        <v>Delayed</v>
      </c>
      <c r="R168">
        <f ca="1">Table2[[#This Row],[Revenue]]-Table2[[#This Row],[Transport Cost]]</f>
        <v>542.16</v>
      </c>
      <c r="S168" s="4">
        <f t="shared" ca="1" si="26"/>
        <v>0.36</v>
      </c>
    </row>
    <row r="169" spans="1:19" x14ac:dyDescent="0.2">
      <c r="A169" t="s">
        <v>183</v>
      </c>
      <c r="B169" s="1">
        <f t="shared" ca="1" si="27"/>
        <v>46036</v>
      </c>
      <c r="C169" s="1">
        <f t="shared" ca="1" si="28"/>
        <v>46040</v>
      </c>
      <c r="D169" s="1">
        <f t="shared" ca="1" si="29"/>
        <v>46039</v>
      </c>
      <c r="E169" t="str">
        <f t="shared" ca="1" si="30"/>
        <v>IKEA</v>
      </c>
      <c r="F169" t="str">
        <f t="shared" ca="1" si="31"/>
        <v>Poland</v>
      </c>
      <c r="G169" t="str">
        <f t="shared" ca="1" si="32"/>
        <v>Warsaw</v>
      </c>
      <c r="H169" t="str">
        <f t="shared" ca="1" si="33"/>
        <v>Sea</v>
      </c>
      <c r="I169" t="str">
        <f t="shared" ca="1" si="34"/>
        <v>Kuehne+Nagel</v>
      </c>
      <c r="J169" t="s">
        <v>316</v>
      </c>
      <c r="K169">
        <f t="shared" ca="1" si="35"/>
        <v>4437</v>
      </c>
      <c r="L169">
        <f t="shared" ca="1" si="36"/>
        <v>2662.2</v>
      </c>
      <c r="M169">
        <f t="shared" ca="1" si="37"/>
        <v>14557</v>
      </c>
      <c r="N169">
        <f t="shared" ca="1" si="38"/>
        <v>591</v>
      </c>
      <c r="O169">
        <f ca="1">Table2[[#This Row],[Delivery Date]]-Table2[[#This Row],[Order date]]</f>
        <v>3</v>
      </c>
      <c r="P169">
        <f ca="1">MAX(0,Table2[[#This Row],[Delivery Date]]-Table2[[#This Row],[Planned Delivery Date]])</f>
        <v>0</v>
      </c>
      <c r="Q169" t="str">
        <f ca="1">IF(Table2[[#This Row],[Delivery Date]]&lt;=Table2[[#This Row],[Planned Delivery Date]],"On Time","Delayed")</f>
        <v>On Time</v>
      </c>
      <c r="R169">
        <f ca="1">Table2[[#This Row],[Revenue]]-Table2[[#This Row],[Transport Cost]]</f>
        <v>1774.8000000000002</v>
      </c>
      <c r="S169" s="4">
        <f t="shared" ca="1" si="26"/>
        <v>0.4</v>
      </c>
    </row>
    <row r="170" spans="1:19" x14ac:dyDescent="0.2">
      <c r="A170" t="s">
        <v>184</v>
      </c>
      <c r="B170" s="1">
        <f t="shared" ca="1" si="27"/>
        <v>46059</v>
      </c>
      <c r="C170" s="1">
        <f t="shared" ca="1" si="28"/>
        <v>46069</v>
      </c>
      <c r="D170" s="1">
        <f t="shared" ca="1" si="29"/>
        <v>46073</v>
      </c>
      <c r="E170" t="str">
        <f t="shared" ca="1" si="30"/>
        <v>Allegro</v>
      </c>
      <c r="F170" t="str">
        <f t="shared" ca="1" si="31"/>
        <v>Czech Republic</v>
      </c>
      <c r="G170" t="str">
        <f t="shared" ca="1" si="32"/>
        <v>Prague</v>
      </c>
      <c r="H170" t="str">
        <f t="shared" ca="1" si="33"/>
        <v>Sea</v>
      </c>
      <c r="I170" t="str">
        <f t="shared" ca="1" si="34"/>
        <v>Kuehne+Nagel</v>
      </c>
      <c r="J170" t="s">
        <v>316</v>
      </c>
      <c r="K170">
        <f t="shared" ca="1" si="35"/>
        <v>3122</v>
      </c>
      <c r="L170">
        <f t="shared" ca="1" si="36"/>
        <v>2091.7399999999998</v>
      </c>
      <c r="M170">
        <f t="shared" ca="1" si="37"/>
        <v>14316</v>
      </c>
      <c r="N170">
        <f t="shared" ca="1" si="38"/>
        <v>707</v>
      </c>
      <c r="O170">
        <f ca="1">Table2[[#This Row],[Delivery Date]]-Table2[[#This Row],[Order date]]</f>
        <v>14</v>
      </c>
      <c r="P170">
        <f ca="1">MAX(0,Table2[[#This Row],[Delivery Date]]-Table2[[#This Row],[Planned Delivery Date]])</f>
        <v>4</v>
      </c>
      <c r="Q170" t="str">
        <f ca="1">IF(Table2[[#This Row],[Delivery Date]]&lt;=Table2[[#This Row],[Planned Delivery Date]],"On Time","Delayed")</f>
        <v>Delayed</v>
      </c>
      <c r="R170">
        <f ca="1">Table2[[#This Row],[Revenue]]-Table2[[#This Row],[Transport Cost]]</f>
        <v>1030.2600000000002</v>
      </c>
      <c r="S170" s="4">
        <f t="shared" ca="1" si="26"/>
        <v>0.33000000000000007</v>
      </c>
    </row>
    <row r="171" spans="1:19" x14ac:dyDescent="0.2">
      <c r="A171" t="s">
        <v>185</v>
      </c>
      <c r="B171" s="1">
        <f t="shared" ca="1" si="27"/>
        <v>46201</v>
      </c>
      <c r="C171" s="1">
        <f t="shared" ca="1" si="28"/>
        <v>46206</v>
      </c>
      <c r="D171" s="1">
        <f t="shared" ca="1" si="29"/>
        <v>46208</v>
      </c>
      <c r="E171" t="str">
        <f t="shared" ca="1" si="30"/>
        <v>Samsung</v>
      </c>
      <c r="F171" t="str">
        <f t="shared" ca="1" si="31"/>
        <v>France</v>
      </c>
      <c r="G171" t="str">
        <f t="shared" ca="1" si="32"/>
        <v>Lyon</v>
      </c>
      <c r="H171" t="str">
        <f t="shared" ca="1" si="33"/>
        <v>Road</v>
      </c>
      <c r="I171" t="str">
        <f t="shared" ca="1" si="34"/>
        <v>DB Schenker</v>
      </c>
      <c r="J171" t="s">
        <v>316</v>
      </c>
      <c r="K171">
        <f t="shared" ca="1" si="35"/>
        <v>1020</v>
      </c>
      <c r="L171">
        <f t="shared" ca="1" si="36"/>
        <v>581.4</v>
      </c>
      <c r="M171">
        <f t="shared" ca="1" si="37"/>
        <v>2579</v>
      </c>
      <c r="N171">
        <f t="shared" ca="1" si="38"/>
        <v>1602</v>
      </c>
      <c r="O171">
        <f ca="1">Table2[[#This Row],[Delivery Date]]-Table2[[#This Row],[Order date]]</f>
        <v>7</v>
      </c>
      <c r="P171">
        <f ca="1">MAX(0,Table2[[#This Row],[Delivery Date]]-Table2[[#This Row],[Planned Delivery Date]])</f>
        <v>2</v>
      </c>
      <c r="Q171" t="str">
        <f ca="1">IF(Table2[[#This Row],[Delivery Date]]&lt;=Table2[[#This Row],[Planned Delivery Date]],"On Time","Delayed")</f>
        <v>Delayed</v>
      </c>
      <c r="R171">
        <f ca="1">Table2[[#This Row],[Revenue]]-Table2[[#This Row],[Transport Cost]]</f>
        <v>438.6</v>
      </c>
      <c r="S171" s="4">
        <f t="shared" ca="1" si="26"/>
        <v>0.43000000000000005</v>
      </c>
    </row>
    <row r="172" spans="1:19" x14ac:dyDescent="0.2">
      <c r="A172" t="s">
        <v>186</v>
      </c>
      <c r="B172" s="1">
        <f t="shared" ca="1" si="27"/>
        <v>46131</v>
      </c>
      <c r="C172" s="1">
        <f t="shared" ca="1" si="28"/>
        <v>46135</v>
      </c>
      <c r="D172" s="1">
        <f t="shared" ca="1" si="29"/>
        <v>46137</v>
      </c>
      <c r="E172" t="str">
        <f t="shared" ca="1" si="30"/>
        <v>Decathlon</v>
      </c>
      <c r="F172" t="str">
        <f t="shared" ca="1" si="31"/>
        <v>Spain</v>
      </c>
      <c r="G172" t="str">
        <f t="shared" ca="1" si="32"/>
        <v>Barcelona</v>
      </c>
      <c r="H172" t="str">
        <f t="shared" ca="1" si="33"/>
        <v>Sea</v>
      </c>
      <c r="I172" t="str">
        <f t="shared" ca="1" si="34"/>
        <v>Kuehne+Nagel</v>
      </c>
      <c r="J172" t="s">
        <v>316</v>
      </c>
      <c r="K172">
        <f t="shared" ca="1" si="35"/>
        <v>1767</v>
      </c>
      <c r="L172">
        <f t="shared" ca="1" si="36"/>
        <v>989.52</v>
      </c>
      <c r="M172">
        <f t="shared" ca="1" si="37"/>
        <v>13350</v>
      </c>
      <c r="N172">
        <f t="shared" ca="1" si="38"/>
        <v>2463</v>
      </c>
      <c r="O172">
        <f ca="1">Table2[[#This Row],[Delivery Date]]-Table2[[#This Row],[Order date]]</f>
        <v>6</v>
      </c>
      <c r="P172">
        <f ca="1">MAX(0,Table2[[#This Row],[Delivery Date]]-Table2[[#This Row],[Planned Delivery Date]])</f>
        <v>2</v>
      </c>
      <c r="Q172" t="str">
        <f ca="1">IF(Table2[[#This Row],[Delivery Date]]&lt;=Table2[[#This Row],[Planned Delivery Date]],"On Time","Delayed")</f>
        <v>Delayed</v>
      </c>
      <c r="R172">
        <f ca="1">Table2[[#This Row],[Revenue]]-Table2[[#This Row],[Transport Cost]]</f>
        <v>777.48</v>
      </c>
      <c r="S172" s="4">
        <f t="shared" ca="1" si="26"/>
        <v>0.44</v>
      </c>
    </row>
    <row r="173" spans="1:19" x14ac:dyDescent="0.2">
      <c r="A173" t="s">
        <v>187</v>
      </c>
      <c r="B173" s="1">
        <f t="shared" ca="1" si="27"/>
        <v>46102</v>
      </c>
      <c r="C173" s="1">
        <f t="shared" ca="1" si="28"/>
        <v>46110</v>
      </c>
      <c r="D173" s="1">
        <f t="shared" ca="1" si="29"/>
        <v>46109</v>
      </c>
      <c r="E173" t="str">
        <f t="shared" ca="1" si="30"/>
        <v>IKEA</v>
      </c>
      <c r="F173" t="str">
        <f t="shared" ca="1" si="31"/>
        <v>France</v>
      </c>
      <c r="G173" t="str">
        <f t="shared" ca="1" si="32"/>
        <v>Paris</v>
      </c>
      <c r="H173" t="str">
        <f t="shared" ca="1" si="33"/>
        <v>Sea</v>
      </c>
      <c r="I173" t="str">
        <f t="shared" ca="1" si="34"/>
        <v>Maersk</v>
      </c>
      <c r="J173" t="s">
        <v>316</v>
      </c>
      <c r="K173">
        <f t="shared" ca="1" si="35"/>
        <v>3056</v>
      </c>
      <c r="L173">
        <f t="shared" ca="1" si="36"/>
        <v>1803.04</v>
      </c>
      <c r="M173">
        <f t="shared" ca="1" si="37"/>
        <v>13338</v>
      </c>
      <c r="N173">
        <f t="shared" ca="1" si="38"/>
        <v>1638</v>
      </c>
      <c r="O173">
        <f ca="1">Table2[[#This Row],[Delivery Date]]-Table2[[#This Row],[Order date]]</f>
        <v>7</v>
      </c>
      <c r="P173">
        <f ca="1">MAX(0,Table2[[#This Row],[Delivery Date]]-Table2[[#This Row],[Planned Delivery Date]])</f>
        <v>0</v>
      </c>
      <c r="Q173" t="str">
        <f ca="1">IF(Table2[[#This Row],[Delivery Date]]&lt;=Table2[[#This Row],[Planned Delivery Date]],"On Time","Delayed")</f>
        <v>On Time</v>
      </c>
      <c r="R173">
        <f ca="1">Table2[[#This Row],[Revenue]]-Table2[[#This Row],[Transport Cost]]</f>
        <v>1252.96</v>
      </c>
      <c r="S173" s="4">
        <f t="shared" ca="1" si="26"/>
        <v>0.41000000000000003</v>
      </c>
    </row>
    <row r="174" spans="1:19" x14ac:dyDescent="0.2">
      <c r="A174" t="s">
        <v>188</v>
      </c>
      <c r="B174" s="1">
        <f t="shared" ca="1" si="27"/>
        <v>46041</v>
      </c>
      <c r="C174" s="1">
        <f t="shared" ca="1" si="28"/>
        <v>46046</v>
      </c>
      <c r="D174" s="1">
        <f t="shared" ca="1" si="29"/>
        <v>46049</v>
      </c>
      <c r="E174" t="str">
        <f t="shared" ca="1" si="30"/>
        <v>Philips</v>
      </c>
      <c r="F174" t="str">
        <f t="shared" ca="1" si="31"/>
        <v>France</v>
      </c>
      <c r="G174" t="str">
        <f t="shared" ca="1" si="32"/>
        <v>Paris</v>
      </c>
      <c r="H174" t="str">
        <f t="shared" ca="1" si="33"/>
        <v>Road</v>
      </c>
      <c r="I174" t="str">
        <f t="shared" ca="1" si="34"/>
        <v>DB Schenker</v>
      </c>
      <c r="J174" t="s">
        <v>316</v>
      </c>
      <c r="K174">
        <f t="shared" ca="1" si="35"/>
        <v>2290</v>
      </c>
      <c r="L174">
        <f t="shared" ca="1" si="36"/>
        <v>1809.1</v>
      </c>
      <c r="M174">
        <f t="shared" ca="1" si="37"/>
        <v>4331</v>
      </c>
      <c r="N174">
        <f t="shared" ca="1" si="38"/>
        <v>1683</v>
      </c>
      <c r="O174">
        <f ca="1">Table2[[#This Row],[Delivery Date]]-Table2[[#This Row],[Order date]]</f>
        <v>8</v>
      </c>
      <c r="P174">
        <f ca="1">MAX(0,Table2[[#This Row],[Delivery Date]]-Table2[[#This Row],[Planned Delivery Date]])</f>
        <v>3</v>
      </c>
      <c r="Q174" t="str">
        <f ca="1">IF(Table2[[#This Row],[Delivery Date]]&lt;=Table2[[#This Row],[Planned Delivery Date]],"On Time","Delayed")</f>
        <v>Delayed</v>
      </c>
      <c r="R174">
        <f ca="1">Table2[[#This Row],[Revenue]]-Table2[[#This Row],[Transport Cost]]</f>
        <v>480.90000000000009</v>
      </c>
      <c r="S174" s="4">
        <f t="shared" ca="1" si="26"/>
        <v>0.21000000000000005</v>
      </c>
    </row>
    <row r="175" spans="1:19" x14ac:dyDescent="0.2">
      <c r="A175" t="s">
        <v>189</v>
      </c>
      <c r="B175" s="1">
        <f t="shared" ca="1" si="27"/>
        <v>46152</v>
      </c>
      <c r="C175" s="1">
        <f t="shared" ca="1" si="28"/>
        <v>46157</v>
      </c>
      <c r="D175" s="1">
        <f t="shared" ca="1" si="29"/>
        <v>46158</v>
      </c>
      <c r="E175" t="str">
        <f t="shared" ca="1" si="30"/>
        <v>Bosch</v>
      </c>
      <c r="F175" t="str">
        <f t="shared" ca="1" si="31"/>
        <v>Czech Republic</v>
      </c>
      <c r="G175" t="str">
        <f t="shared" ca="1" si="32"/>
        <v>Prague</v>
      </c>
      <c r="H175" t="str">
        <f t="shared" ca="1" si="33"/>
        <v>Road</v>
      </c>
      <c r="I175" t="str">
        <f t="shared" ca="1" si="34"/>
        <v>UPS</v>
      </c>
      <c r="J175" t="s">
        <v>316</v>
      </c>
      <c r="K175">
        <f t="shared" ca="1" si="35"/>
        <v>1173</v>
      </c>
      <c r="L175">
        <f t="shared" ca="1" si="36"/>
        <v>903.21</v>
      </c>
      <c r="M175">
        <f t="shared" ca="1" si="37"/>
        <v>1321</v>
      </c>
      <c r="N175">
        <f t="shared" ca="1" si="38"/>
        <v>547</v>
      </c>
      <c r="O175">
        <f ca="1">Table2[[#This Row],[Delivery Date]]-Table2[[#This Row],[Order date]]</f>
        <v>6</v>
      </c>
      <c r="P175">
        <f ca="1">MAX(0,Table2[[#This Row],[Delivery Date]]-Table2[[#This Row],[Planned Delivery Date]])</f>
        <v>1</v>
      </c>
      <c r="Q175" t="str">
        <f ca="1">IF(Table2[[#This Row],[Delivery Date]]&lt;=Table2[[#This Row],[Planned Delivery Date]],"On Time","Delayed")</f>
        <v>Delayed</v>
      </c>
      <c r="R175">
        <f ca="1">Table2[[#This Row],[Revenue]]-Table2[[#This Row],[Transport Cost]]</f>
        <v>269.78999999999996</v>
      </c>
      <c r="S175" s="4">
        <f t="shared" ca="1" si="26"/>
        <v>0.22999999999999998</v>
      </c>
    </row>
    <row r="176" spans="1:19" x14ac:dyDescent="0.2">
      <c r="A176" t="s">
        <v>190</v>
      </c>
      <c r="B176" s="1">
        <f t="shared" ca="1" si="27"/>
        <v>46023</v>
      </c>
      <c r="C176" s="1">
        <f t="shared" ca="1" si="28"/>
        <v>46028</v>
      </c>
      <c r="D176" s="1">
        <f t="shared" ca="1" si="29"/>
        <v>46032</v>
      </c>
      <c r="E176" t="str">
        <f t="shared" ca="1" si="30"/>
        <v>Decathlon</v>
      </c>
      <c r="F176" t="str">
        <f t="shared" ca="1" si="31"/>
        <v>France</v>
      </c>
      <c r="G176" t="str">
        <f t="shared" ca="1" si="32"/>
        <v>Lyon</v>
      </c>
      <c r="H176" t="str">
        <f t="shared" ca="1" si="33"/>
        <v>Air</v>
      </c>
      <c r="I176" t="str">
        <f t="shared" ca="1" si="34"/>
        <v>FedEx</v>
      </c>
      <c r="J176" t="s">
        <v>316</v>
      </c>
      <c r="K176">
        <f t="shared" ca="1" si="35"/>
        <v>3346</v>
      </c>
      <c r="L176">
        <f t="shared" ca="1" si="36"/>
        <v>2476.04</v>
      </c>
      <c r="M176">
        <f t="shared" ca="1" si="37"/>
        <v>651</v>
      </c>
      <c r="N176">
        <f t="shared" ca="1" si="38"/>
        <v>1602</v>
      </c>
      <c r="O176">
        <f ca="1">Table2[[#This Row],[Delivery Date]]-Table2[[#This Row],[Order date]]</f>
        <v>9</v>
      </c>
      <c r="P176">
        <f ca="1">MAX(0,Table2[[#This Row],[Delivery Date]]-Table2[[#This Row],[Planned Delivery Date]])</f>
        <v>4</v>
      </c>
      <c r="Q176" t="str">
        <f ca="1">IF(Table2[[#This Row],[Delivery Date]]&lt;=Table2[[#This Row],[Planned Delivery Date]],"On Time","Delayed")</f>
        <v>Delayed</v>
      </c>
      <c r="R176">
        <f ca="1">Table2[[#This Row],[Revenue]]-Table2[[#This Row],[Transport Cost]]</f>
        <v>869.96</v>
      </c>
      <c r="S176" s="4">
        <f t="shared" ca="1" si="26"/>
        <v>0.26</v>
      </c>
    </row>
    <row r="177" spans="1:19" x14ac:dyDescent="0.2">
      <c r="A177" t="s">
        <v>191</v>
      </c>
      <c r="B177" s="1">
        <f t="shared" ca="1" si="27"/>
        <v>46201</v>
      </c>
      <c r="C177" s="1">
        <f t="shared" ca="1" si="28"/>
        <v>46209</v>
      </c>
      <c r="D177" s="1">
        <f t="shared" ca="1" si="29"/>
        <v>46211</v>
      </c>
      <c r="E177" t="str">
        <f t="shared" ca="1" si="30"/>
        <v>IKEA</v>
      </c>
      <c r="F177" t="str">
        <f t="shared" ca="1" si="31"/>
        <v>Czech Republic</v>
      </c>
      <c r="G177" t="str">
        <f t="shared" ca="1" si="32"/>
        <v>Prague</v>
      </c>
      <c r="H177" t="str">
        <f t="shared" ca="1" si="33"/>
        <v>Rail</v>
      </c>
      <c r="I177" t="str">
        <f t="shared" ca="1" si="34"/>
        <v>Kuehne+Nagel</v>
      </c>
      <c r="J177" t="s">
        <v>316</v>
      </c>
      <c r="K177">
        <f t="shared" ca="1" si="35"/>
        <v>2812</v>
      </c>
      <c r="L177">
        <f t="shared" ca="1" si="36"/>
        <v>1659.08</v>
      </c>
      <c r="M177">
        <f t="shared" ca="1" si="37"/>
        <v>6412</v>
      </c>
      <c r="N177">
        <f t="shared" ca="1" si="38"/>
        <v>802</v>
      </c>
      <c r="O177">
        <f ca="1">Table2[[#This Row],[Delivery Date]]-Table2[[#This Row],[Order date]]</f>
        <v>10</v>
      </c>
      <c r="P177">
        <f ca="1">MAX(0,Table2[[#This Row],[Delivery Date]]-Table2[[#This Row],[Planned Delivery Date]])</f>
        <v>2</v>
      </c>
      <c r="Q177" t="str">
        <f ca="1">IF(Table2[[#This Row],[Delivery Date]]&lt;=Table2[[#This Row],[Planned Delivery Date]],"On Time","Delayed")</f>
        <v>Delayed</v>
      </c>
      <c r="R177">
        <f ca="1">Table2[[#This Row],[Revenue]]-Table2[[#This Row],[Transport Cost]]</f>
        <v>1152.92</v>
      </c>
      <c r="S177" s="4">
        <f t="shared" ca="1" si="26"/>
        <v>0.41000000000000003</v>
      </c>
    </row>
    <row r="178" spans="1:19" x14ac:dyDescent="0.2">
      <c r="A178" t="s">
        <v>192</v>
      </c>
      <c r="B178" s="1">
        <f t="shared" ca="1" si="27"/>
        <v>46049</v>
      </c>
      <c r="C178" s="1">
        <f t="shared" ca="1" si="28"/>
        <v>46052</v>
      </c>
      <c r="D178" s="1">
        <f t="shared" ca="1" si="29"/>
        <v>46055</v>
      </c>
      <c r="E178" t="str">
        <f t="shared" ca="1" si="30"/>
        <v>IKEA</v>
      </c>
      <c r="F178" t="str">
        <f t="shared" ca="1" si="31"/>
        <v>Germany</v>
      </c>
      <c r="G178" t="str">
        <f t="shared" ca="1" si="32"/>
        <v>Hamburg</v>
      </c>
      <c r="H178" t="str">
        <f t="shared" ca="1" si="33"/>
        <v>Rail</v>
      </c>
      <c r="I178" t="str">
        <f t="shared" ca="1" si="34"/>
        <v>DB Schenker</v>
      </c>
      <c r="J178" t="s">
        <v>316</v>
      </c>
      <c r="K178">
        <f t="shared" ca="1" si="35"/>
        <v>1350</v>
      </c>
      <c r="L178">
        <f t="shared" ca="1" si="36"/>
        <v>810</v>
      </c>
      <c r="M178">
        <f t="shared" ca="1" si="37"/>
        <v>8906</v>
      </c>
      <c r="N178">
        <f t="shared" ca="1" si="38"/>
        <v>679</v>
      </c>
      <c r="O178">
        <f ca="1">Table2[[#This Row],[Delivery Date]]-Table2[[#This Row],[Order date]]</f>
        <v>6</v>
      </c>
      <c r="P178">
        <f ca="1">MAX(0,Table2[[#This Row],[Delivery Date]]-Table2[[#This Row],[Planned Delivery Date]])</f>
        <v>3</v>
      </c>
      <c r="Q178" t="str">
        <f ca="1">IF(Table2[[#This Row],[Delivery Date]]&lt;=Table2[[#This Row],[Planned Delivery Date]],"On Time","Delayed")</f>
        <v>Delayed</v>
      </c>
      <c r="R178">
        <f ca="1">Table2[[#This Row],[Revenue]]-Table2[[#This Row],[Transport Cost]]</f>
        <v>540</v>
      </c>
      <c r="S178" s="4">
        <f t="shared" ca="1" si="26"/>
        <v>0.4</v>
      </c>
    </row>
    <row r="179" spans="1:19" x14ac:dyDescent="0.2">
      <c r="A179" t="s">
        <v>193</v>
      </c>
      <c r="B179" s="1">
        <f t="shared" ca="1" si="27"/>
        <v>46162</v>
      </c>
      <c r="C179" s="1">
        <f t="shared" ca="1" si="28"/>
        <v>46164</v>
      </c>
      <c r="D179" s="1">
        <f t="shared" ca="1" si="29"/>
        <v>46168</v>
      </c>
      <c r="E179" t="str">
        <f t="shared" ca="1" si="30"/>
        <v>Allegro</v>
      </c>
      <c r="F179" t="str">
        <f t="shared" ca="1" si="31"/>
        <v>Czech Republic</v>
      </c>
      <c r="G179" t="str">
        <f t="shared" ca="1" si="32"/>
        <v>Prague</v>
      </c>
      <c r="H179" t="str">
        <f t="shared" ca="1" si="33"/>
        <v>Road</v>
      </c>
      <c r="I179" t="str">
        <f t="shared" ca="1" si="34"/>
        <v>DB Schenker</v>
      </c>
      <c r="J179" t="s">
        <v>316</v>
      </c>
      <c r="K179">
        <f t="shared" ca="1" si="35"/>
        <v>1095</v>
      </c>
      <c r="L179">
        <f t="shared" ca="1" si="36"/>
        <v>722.7</v>
      </c>
      <c r="M179">
        <f t="shared" ca="1" si="37"/>
        <v>4202</v>
      </c>
      <c r="N179">
        <f t="shared" ca="1" si="38"/>
        <v>715</v>
      </c>
      <c r="O179">
        <f ca="1">Table2[[#This Row],[Delivery Date]]-Table2[[#This Row],[Order date]]</f>
        <v>6</v>
      </c>
      <c r="P179">
        <f ca="1">MAX(0,Table2[[#This Row],[Delivery Date]]-Table2[[#This Row],[Planned Delivery Date]])</f>
        <v>4</v>
      </c>
      <c r="Q179" t="str">
        <f ca="1">IF(Table2[[#This Row],[Delivery Date]]&lt;=Table2[[#This Row],[Planned Delivery Date]],"On Time","Delayed")</f>
        <v>Delayed</v>
      </c>
      <c r="R179">
        <f ca="1">Table2[[#This Row],[Revenue]]-Table2[[#This Row],[Transport Cost]]</f>
        <v>372.29999999999995</v>
      </c>
      <c r="S179" s="4">
        <f t="shared" ca="1" si="26"/>
        <v>0.33999999999999997</v>
      </c>
    </row>
    <row r="180" spans="1:19" x14ac:dyDescent="0.2">
      <c r="A180" t="s">
        <v>194</v>
      </c>
      <c r="B180" s="1">
        <f t="shared" ca="1" si="27"/>
        <v>46108</v>
      </c>
      <c r="C180" s="1">
        <f t="shared" ca="1" si="28"/>
        <v>46111</v>
      </c>
      <c r="D180" s="1">
        <f t="shared" ca="1" si="29"/>
        <v>46115</v>
      </c>
      <c r="E180" t="str">
        <f t="shared" ca="1" si="30"/>
        <v>Philips</v>
      </c>
      <c r="F180" t="str">
        <f t="shared" ca="1" si="31"/>
        <v>France</v>
      </c>
      <c r="G180" t="str">
        <f t="shared" ca="1" si="32"/>
        <v>Paris</v>
      </c>
      <c r="H180" t="str">
        <f t="shared" ca="1" si="33"/>
        <v>Road</v>
      </c>
      <c r="I180" t="str">
        <f t="shared" ca="1" si="34"/>
        <v>FedEx</v>
      </c>
      <c r="J180" t="s">
        <v>316</v>
      </c>
      <c r="K180">
        <f t="shared" ca="1" si="35"/>
        <v>893</v>
      </c>
      <c r="L180">
        <f t="shared" ca="1" si="36"/>
        <v>580.45000000000005</v>
      </c>
      <c r="M180">
        <f t="shared" ca="1" si="37"/>
        <v>4929</v>
      </c>
      <c r="N180">
        <f t="shared" ca="1" si="38"/>
        <v>1474</v>
      </c>
      <c r="O180">
        <f ca="1">Table2[[#This Row],[Delivery Date]]-Table2[[#This Row],[Order date]]</f>
        <v>7</v>
      </c>
      <c r="P180">
        <f ca="1">MAX(0,Table2[[#This Row],[Delivery Date]]-Table2[[#This Row],[Planned Delivery Date]])</f>
        <v>4</v>
      </c>
      <c r="Q180" t="str">
        <f ca="1">IF(Table2[[#This Row],[Delivery Date]]&lt;=Table2[[#This Row],[Planned Delivery Date]],"On Time","Delayed")</f>
        <v>Delayed</v>
      </c>
      <c r="R180">
        <f ca="1">Table2[[#This Row],[Revenue]]-Table2[[#This Row],[Transport Cost]]</f>
        <v>312.54999999999995</v>
      </c>
      <c r="S180" s="4">
        <f t="shared" ca="1" si="26"/>
        <v>0.34999999999999992</v>
      </c>
    </row>
    <row r="181" spans="1:19" x14ac:dyDescent="0.2">
      <c r="A181" t="s">
        <v>195</v>
      </c>
      <c r="B181" s="1">
        <f t="shared" ca="1" si="27"/>
        <v>46203</v>
      </c>
      <c r="C181" s="1">
        <f t="shared" ca="1" si="28"/>
        <v>46207</v>
      </c>
      <c r="D181" s="1">
        <f t="shared" ca="1" si="29"/>
        <v>46212</v>
      </c>
      <c r="E181" t="str">
        <f t="shared" ca="1" si="30"/>
        <v>H&amp;M</v>
      </c>
      <c r="F181" t="str">
        <f t="shared" ca="1" si="31"/>
        <v>Poland</v>
      </c>
      <c r="G181" t="str">
        <f t="shared" ca="1" si="32"/>
        <v>Warsaw</v>
      </c>
      <c r="H181" t="str">
        <f t="shared" ca="1" si="33"/>
        <v>Road</v>
      </c>
      <c r="I181" t="str">
        <f t="shared" ca="1" si="34"/>
        <v>GLS</v>
      </c>
      <c r="J181" t="s">
        <v>316</v>
      </c>
      <c r="K181">
        <f t="shared" ca="1" si="35"/>
        <v>605</v>
      </c>
      <c r="L181">
        <f t="shared" ca="1" si="36"/>
        <v>508.2</v>
      </c>
      <c r="M181">
        <f t="shared" ca="1" si="37"/>
        <v>3341</v>
      </c>
      <c r="N181">
        <f t="shared" ca="1" si="38"/>
        <v>137</v>
      </c>
      <c r="O181">
        <f ca="1">Table2[[#This Row],[Delivery Date]]-Table2[[#This Row],[Order date]]</f>
        <v>9</v>
      </c>
      <c r="P181">
        <f ca="1">MAX(0,Table2[[#This Row],[Delivery Date]]-Table2[[#This Row],[Planned Delivery Date]])</f>
        <v>5</v>
      </c>
      <c r="Q181" t="str">
        <f ca="1">IF(Table2[[#This Row],[Delivery Date]]&lt;=Table2[[#This Row],[Planned Delivery Date]],"On Time","Delayed")</f>
        <v>Delayed</v>
      </c>
      <c r="R181">
        <f ca="1">Table2[[#This Row],[Revenue]]-Table2[[#This Row],[Transport Cost]]</f>
        <v>96.800000000000011</v>
      </c>
      <c r="S181" s="4">
        <f t="shared" ca="1" si="26"/>
        <v>0.16000000000000003</v>
      </c>
    </row>
    <row r="182" spans="1:19" x14ac:dyDescent="0.2">
      <c r="A182" t="s">
        <v>196</v>
      </c>
      <c r="B182" s="1">
        <f t="shared" ca="1" si="27"/>
        <v>46105</v>
      </c>
      <c r="C182" s="1">
        <f t="shared" ca="1" si="28"/>
        <v>46108</v>
      </c>
      <c r="D182" s="1">
        <f t="shared" ca="1" si="29"/>
        <v>46111</v>
      </c>
      <c r="E182" t="str">
        <f t="shared" ca="1" si="30"/>
        <v>Decathlon</v>
      </c>
      <c r="F182" t="str">
        <f t="shared" ca="1" si="31"/>
        <v>France</v>
      </c>
      <c r="G182" t="str">
        <f t="shared" ca="1" si="32"/>
        <v>Lyon</v>
      </c>
      <c r="H182" t="str">
        <f t="shared" ca="1" si="33"/>
        <v>Rail</v>
      </c>
      <c r="I182" t="str">
        <f t="shared" ca="1" si="34"/>
        <v>Kuehne+Nagel</v>
      </c>
      <c r="J182" t="s">
        <v>316</v>
      </c>
      <c r="K182">
        <f t="shared" ca="1" si="35"/>
        <v>1013</v>
      </c>
      <c r="L182">
        <f t="shared" ca="1" si="36"/>
        <v>759.75</v>
      </c>
      <c r="M182">
        <f t="shared" ca="1" si="37"/>
        <v>8494</v>
      </c>
      <c r="N182">
        <f t="shared" ca="1" si="38"/>
        <v>1387</v>
      </c>
      <c r="O182">
        <f ca="1">Table2[[#This Row],[Delivery Date]]-Table2[[#This Row],[Order date]]</f>
        <v>6</v>
      </c>
      <c r="P182">
        <f ca="1">MAX(0,Table2[[#This Row],[Delivery Date]]-Table2[[#This Row],[Planned Delivery Date]])</f>
        <v>3</v>
      </c>
      <c r="Q182" t="str">
        <f ca="1">IF(Table2[[#This Row],[Delivery Date]]&lt;=Table2[[#This Row],[Planned Delivery Date]],"On Time","Delayed")</f>
        <v>Delayed</v>
      </c>
      <c r="R182">
        <f ca="1">Table2[[#This Row],[Revenue]]-Table2[[#This Row],[Transport Cost]]</f>
        <v>253.25</v>
      </c>
      <c r="S182" s="4">
        <f t="shared" ca="1" si="26"/>
        <v>0.25</v>
      </c>
    </row>
    <row r="183" spans="1:19" x14ac:dyDescent="0.2">
      <c r="A183" t="s">
        <v>197</v>
      </c>
      <c r="B183" s="1">
        <f t="shared" ca="1" si="27"/>
        <v>46118</v>
      </c>
      <c r="C183" s="1">
        <f t="shared" ca="1" si="28"/>
        <v>46126</v>
      </c>
      <c r="D183" s="1">
        <f t="shared" ca="1" si="29"/>
        <v>46126</v>
      </c>
      <c r="E183" t="str">
        <f t="shared" ca="1" si="30"/>
        <v>Decathlon</v>
      </c>
      <c r="F183" t="str">
        <f t="shared" ca="1" si="31"/>
        <v>Poland</v>
      </c>
      <c r="G183" t="str">
        <f t="shared" ca="1" si="32"/>
        <v>Krakow</v>
      </c>
      <c r="H183" t="str">
        <f t="shared" ca="1" si="33"/>
        <v>Rail</v>
      </c>
      <c r="I183" t="str">
        <f t="shared" ca="1" si="34"/>
        <v>DB Schenker</v>
      </c>
      <c r="J183" t="s">
        <v>316</v>
      </c>
      <c r="K183">
        <f t="shared" ca="1" si="35"/>
        <v>1494</v>
      </c>
      <c r="L183">
        <f t="shared" ca="1" si="36"/>
        <v>836.64</v>
      </c>
      <c r="M183">
        <f t="shared" ca="1" si="37"/>
        <v>8951</v>
      </c>
      <c r="N183">
        <f t="shared" ca="1" si="38"/>
        <v>117</v>
      </c>
      <c r="O183">
        <f ca="1">Table2[[#This Row],[Delivery Date]]-Table2[[#This Row],[Order date]]</f>
        <v>8</v>
      </c>
      <c r="P183">
        <f ca="1">MAX(0,Table2[[#This Row],[Delivery Date]]-Table2[[#This Row],[Planned Delivery Date]])</f>
        <v>0</v>
      </c>
      <c r="Q183" t="str">
        <f ca="1">IF(Table2[[#This Row],[Delivery Date]]&lt;=Table2[[#This Row],[Planned Delivery Date]],"On Time","Delayed")</f>
        <v>On Time</v>
      </c>
      <c r="R183">
        <f ca="1">Table2[[#This Row],[Revenue]]-Table2[[#This Row],[Transport Cost]]</f>
        <v>657.36</v>
      </c>
      <c r="S183" s="4">
        <f t="shared" ca="1" si="26"/>
        <v>0.44</v>
      </c>
    </row>
    <row r="184" spans="1:19" x14ac:dyDescent="0.2">
      <c r="A184" t="s">
        <v>198</v>
      </c>
      <c r="B184" s="1">
        <f t="shared" ca="1" si="27"/>
        <v>46075</v>
      </c>
      <c r="C184" s="1">
        <f t="shared" ca="1" si="28"/>
        <v>46084</v>
      </c>
      <c r="D184" s="1">
        <f t="shared" ca="1" si="29"/>
        <v>46083</v>
      </c>
      <c r="E184" t="str">
        <f t="shared" ca="1" si="30"/>
        <v>Zara</v>
      </c>
      <c r="F184" t="str">
        <f t="shared" ca="1" si="31"/>
        <v>Italy</v>
      </c>
      <c r="G184" t="str">
        <f t="shared" ca="1" si="32"/>
        <v>Milan</v>
      </c>
      <c r="H184" t="str">
        <f t="shared" ca="1" si="33"/>
        <v>Road</v>
      </c>
      <c r="I184" t="str">
        <f t="shared" ca="1" si="34"/>
        <v>DHL</v>
      </c>
      <c r="J184" t="s">
        <v>316</v>
      </c>
      <c r="K184">
        <f t="shared" ca="1" si="35"/>
        <v>2429</v>
      </c>
      <c r="L184">
        <f t="shared" ca="1" si="36"/>
        <v>1773.17</v>
      </c>
      <c r="M184">
        <f t="shared" ca="1" si="37"/>
        <v>2853</v>
      </c>
      <c r="N184">
        <f t="shared" ca="1" si="38"/>
        <v>1513</v>
      </c>
      <c r="O184">
        <f ca="1">Table2[[#This Row],[Delivery Date]]-Table2[[#This Row],[Order date]]</f>
        <v>8</v>
      </c>
      <c r="P184">
        <f ca="1">MAX(0,Table2[[#This Row],[Delivery Date]]-Table2[[#This Row],[Planned Delivery Date]])</f>
        <v>0</v>
      </c>
      <c r="Q184" t="str">
        <f ca="1">IF(Table2[[#This Row],[Delivery Date]]&lt;=Table2[[#This Row],[Planned Delivery Date]],"On Time","Delayed")</f>
        <v>On Time</v>
      </c>
      <c r="R184">
        <f ca="1">Table2[[#This Row],[Revenue]]-Table2[[#This Row],[Transport Cost]]</f>
        <v>655.82999999999993</v>
      </c>
      <c r="S184" s="4">
        <f t="shared" ca="1" si="26"/>
        <v>0.26999999999999996</v>
      </c>
    </row>
    <row r="185" spans="1:19" x14ac:dyDescent="0.2">
      <c r="A185" t="s">
        <v>199</v>
      </c>
      <c r="B185" s="1">
        <f t="shared" ca="1" si="27"/>
        <v>46138</v>
      </c>
      <c r="C185" s="1">
        <f t="shared" ca="1" si="28"/>
        <v>46144</v>
      </c>
      <c r="D185" s="1">
        <f t="shared" ca="1" si="29"/>
        <v>46143</v>
      </c>
      <c r="E185" t="str">
        <f t="shared" ca="1" si="30"/>
        <v>Zara</v>
      </c>
      <c r="F185" t="str">
        <f t="shared" ca="1" si="31"/>
        <v>Spain</v>
      </c>
      <c r="G185" t="str">
        <f t="shared" ca="1" si="32"/>
        <v>Madrid</v>
      </c>
      <c r="H185" t="str">
        <f t="shared" ca="1" si="33"/>
        <v>Sea</v>
      </c>
      <c r="I185" t="str">
        <f t="shared" ca="1" si="34"/>
        <v>Kuehne+Nagel</v>
      </c>
      <c r="J185" t="s">
        <v>316</v>
      </c>
      <c r="K185">
        <f t="shared" ca="1" si="35"/>
        <v>1784</v>
      </c>
      <c r="L185">
        <f t="shared" ca="1" si="36"/>
        <v>1248.8</v>
      </c>
      <c r="M185">
        <f t="shared" ca="1" si="37"/>
        <v>6316</v>
      </c>
      <c r="N185">
        <f t="shared" ca="1" si="38"/>
        <v>2399</v>
      </c>
      <c r="O185">
        <f ca="1">Table2[[#This Row],[Delivery Date]]-Table2[[#This Row],[Order date]]</f>
        <v>5</v>
      </c>
      <c r="P185">
        <f ca="1">MAX(0,Table2[[#This Row],[Delivery Date]]-Table2[[#This Row],[Planned Delivery Date]])</f>
        <v>0</v>
      </c>
      <c r="Q185" t="str">
        <f ca="1">IF(Table2[[#This Row],[Delivery Date]]&lt;=Table2[[#This Row],[Planned Delivery Date]],"On Time","Delayed")</f>
        <v>On Time</v>
      </c>
      <c r="R185">
        <f ca="1">Table2[[#This Row],[Revenue]]-Table2[[#This Row],[Transport Cost]]</f>
        <v>535.20000000000005</v>
      </c>
      <c r="S185" s="4">
        <f t="shared" ca="1" si="26"/>
        <v>0.30000000000000004</v>
      </c>
    </row>
    <row r="186" spans="1:19" x14ac:dyDescent="0.2">
      <c r="A186" t="s">
        <v>200</v>
      </c>
      <c r="B186" s="1">
        <f t="shared" ca="1" si="27"/>
        <v>46050</v>
      </c>
      <c r="C186" s="1">
        <f t="shared" ca="1" si="28"/>
        <v>46055</v>
      </c>
      <c r="D186" s="1">
        <f t="shared" ca="1" si="29"/>
        <v>46058</v>
      </c>
      <c r="E186" t="str">
        <f t="shared" ca="1" si="30"/>
        <v>Zara</v>
      </c>
      <c r="F186" t="str">
        <f t="shared" ca="1" si="31"/>
        <v>France</v>
      </c>
      <c r="G186" t="str">
        <f t="shared" ca="1" si="32"/>
        <v>Paris</v>
      </c>
      <c r="H186" t="str">
        <f t="shared" ca="1" si="33"/>
        <v>Air</v>
      </c>
      <c r="I186" t="str">
        <f t="shared" ca="1" si="34"/>
        <v>UPS</v>
      </c>
      <c r="J186" t="s">
        <v>316</v>
      </c>
      <c r="K186">
        <f t="shared" ca="1" si="35"/>
        <v>3696</v>
      </c>
      <c r="L186">
        <f t="shared" ca="1" si="36"/>
        <v>2808.96</v>
      </c>
      <c r="M186">
        <f t="shared" ca="1" si="37"/>
        <v>470</v>
      </c>
      <c r="N186">
        <f t="shared" ca="1" si="38"/>
        <v>1616</v>
      </c>
      <c r="O186">
        <f ca="1">Table2[[#This Row],[Delivery Date]]-Table2[[#This Row],[Order date]]</f>
        <v>8</v>
      </c>
      <c r="P186">
        <f ca="1">MAX(0,Table2[[#This Row],[Delivery Date]]-Table2[[#This Row],[Planned Delivery Date]])</f>
        <v>3</v>
      </c>
      <c r="Q186" t="str">
        <f ca="1">IF(Table2[[#This Row],[Delivery Date]]&lt;=Table2[[#This Row],[Planned Delivery Date]],"On Time","Delayed")</f>
        <v>Delayed</v>
      </c>
      <c r="R186">
        <f ca="1">Table2[[#This Row],[Revenue]]-Table2[[#This Row],[Transport Cost]]</f>
        <v>887.04</v>
      </c>
      <c r="S186" s="4">
        <f t="shared" ca="1" si="26"/>
        <v>0.24</v>
      </c>
    </row>
    <row r="187" spans="1:19" x14ac:dyDescent="0.2">
      <c r="A187" t="s">
        <v>201</v>
      </c>
      <c r="B187" s="1">
        <f t="shared" ca="1" si="27"/>
        <v>46188</v>
      </c>
      <c r="C187" s="1">
        <f t="shared" ca="1" si="28"/>
        <v>46191</v>
      </c>
      <c r="D187" s="1">
        <f t="shared" ca="1" si="29"/>
        <v>46195</v>
      </c>
      <c r="E187" t="str">
        <f t="shared" ca="1" si="30"/>
        <v>Philips</v>
      </c>
      <c r="F187" t="str">
        <f t="shared" ca="1" si="31"/>
        <v>Czech Republic</v>
      </c>
      <c r="G187" t="str">
        <f t="shared" ca="1" si="32"/>
        <v>Prague</v>
      </c>
      <c r="H187" t="str">
        <f t="shared" ca="1" si="33"/>
        <v>Air</v>
      </c>
      <c r="I187" t="str">
        <f t="shared" ca="1" si="34"/>
        <v>DHL</v>
      </c>
      <c r="J187" t="s">
        <v>316</v>
      </c>
      <c r="K187">
        <f t="shared" ca="1" si="35"/>
        <v>2305</v>
      </c>
      <c r="L187">
        <f t="shared" ca="1" si="36"/>
        <v>1959.25</v>
      </c>
      <c r="M187">
        <f t="shared" ca="1" si="37"/>
        <v>445</v>
      </c>
      <c r="N187">
        <f t="shared" ca="1" si="38"/>
        <v>890</v>
      </c>
      <c r="O187">
        <f ca="1">Table2[[#This Row],[Delivery Date]]-Table2[[#This Row],[Order date]]</f>
        <v>7</v>
      </c>
      <c r="P187">
        <f ca="1">MAX(0,Table2[[#This Row],[Delivery Date]]-Table2[[#This Row],[Planned Delivery Date]])</f>
        <v>4</v>
      </c>
      <c r="Q187" t="str">
        <f ca="1">IF(Table2[[#This Row],[Delivery Date]]&lt;=Table2[[#This Row],[Planned Delivery Date]],"On Time","Delayed")</f>
        <v>Delayed</v>
      </c>
      <c r="R187">
        <f ca="1">Table2[[#This Row],[Revenue]]-Table2[[#This Row],[Transport Cost]]</f>
        <v>345.75</v>
      </c>
      <c r="S187" s="4">
        <f t="shared" ca="1" si="26"/>
        <v>0.15</v>
      </c>
    </row>
    <row r="188" spans="1:19" x14ac:dyDescent="0.2">
      <c r="A188" t="s">
        <v>202</v>
      </c>
      <c r="B188" s="1">
        <f t="shared" ca="1" si="27"/>
        <v>46029</v>
      </c>
      <c r="C188" s="1">
        <f t="shared" ca="1" si="28"/>
        <v>46036</v>
      </c>
      <c r="D188" s="1">
        <f t="shared" ca="1" si="29"/>
        <v>46040</v>
      </c>
      <c r="E188" t="str">
        <f t="shared" ca="1" si="30"/>
        <v>H&amp;M</v>
      </c>
      <c r="F188" t="str">
        <f t="shared" ca="1" si="31"/>
        <v>Czech Republic</v>
      </c>
      <c r="G188" t="str">
        <f t="shared" ca="1" si="32"/>
        <v>Prague</v>
      </c>
      <c r="H188" t="str">
        <f t="shared" ca="1" si="33"/>
        <v>Air</v>
      </c>
      <c r="I188" t="str">
        <f t="shared" ca="1" si="34"/>
        <v>FedEx</v>
      </c>
      <c r="J188" t="s">
        <v>316</v>
      </c>
      <c r="K188">
        <f t="shared" ca="1" si="35"/>
        <v>5502</v>
      </c>
      <c r="L188">
        <f t="shared" ca="1" si="36"/>
        <v>3081.12</v>
      </c>
      <c r="M188">
        <f t="shared" ca="1" si="37"/>
        <v>234</v>
      </c>
      <c r="N188">
        <f t="shared" ca="1" si="38"/>
        <v>760</v>
      </c>
      <c r="O188">
        <f ca="1">Table2[[#This Row],[Delivery Date]]-Table2[[#This Row],[Order date]]</f>
        <v>11</v>
      </c>
      <c r="P188">
        <f ca="1">MAX(0,Table2[[#This Row],[Delivery Date]]-Table2[[#This Row],[Planned Delivery Date]])</f>
        <v>4</v>
      </c>
      <c r="Q188" t="str">
        <f ca="1">IF(Table2[[#This Row],[Delivery Date]]&lt;=Table2[[#This Row],[Planned Delivery Date]],"On Time","Delayed")</f>
        <v>Delayed</v>
      </c>
      <c r="R188">
        <f ca="1">Table2[[#This Row],[Revenue]]-Table2[[#This Row],[Transport Cost]]</f>
        <v>2420.88</v>
      </c>
      <c r="S188" s="4">
        <f t="shared" ca="1" si="26"/>
        <v>0.44</v>
      </c>
    </row>
    <row r="189" spans="1:19" x14ac:dyDescent="0.2">
      <c r="A189" t="s">
        <v>203</v>
      </c>
      <c r="B189" s="1">
        <f t="shared" ca="1" si="27"/>
        <v>46067</v>
      </c>
      <c r="C189" s="1">
        <f t="shared" ca="1" si="28"/>
        <v>46069</v>
      </c>
      <c r="D189" s="1">
        <f t="shared" ca="1" si="29"/>
        <v>46070</v>
      </c>
      <c r="E189" t="str">
        <f t="shared" ca="1" si="30"/>
        <v>Bosch</v>
      </c>
      <c r="F189" t="str">
        <f t="shared" ca="1" si="31"/>
        <v>Poland</v>
      </c>
      <c r="G189" t="str">
        <f t="shared" ca="1" si="32"/>
        <v>Krakow</v>
      </c>
      <c r="H189" t="str">
        <f t="shared" ca="1" si="33"/>
        <v>Air</v>
      </c>
      <c r="I189" t="str">
        <f t="shared" ca="1" si="34"/>
        <v>DHL</v>
      </c>
      <c r="J189" t="s">
        <v>316</v>
      </c>
      <c r="K189">
        <f t="shared" ca="1" si="35"/>
        <v>3174</v>
      </c>
      <c r="L189">
        <f t="shared" ca="1" si="36"/>
        <v>2475.7199999999998</v>
      </c>
      <c r="M189">
        <f t="shared" ca="1" si="37"/>
        <v>54</v>
      </c>
      <c r="N189">
        <f t="shared" ca="1" si="38"/>
        <v>595</v>
      </c>
      <c r="O189">
        <f ca="1">Table2[[#This Row],[Delivery Date]]-Table2[[#This Row],[Order date]]</f>
        <v>3</v>
      </c>
      <c r="P189">
        <f ca="1">MAX(0,Table2[[#This Row],[Delivery Date]]-Table2[[#This Row],[Planned Delivery Date]])</f>
        <v>1</v>
      </c>
      <c r="Q189" t="str">
        <f ca="1">IF(Table2[[#This Row],[Delivery Date]]&lt;=Table2[[#This Row],[Planned Delivery Date]],"On Time","Delayed")</f>
        <v>Delayed</v>
      </c>
      <c r="R189">
        <f ca="1">Table2[[#This Row],[Revenue]]-Table2[[#This Row],[Transport Cost]]</f>
        <v>698.2800000000002</v>
      </c>
      <c r="S189" s="4">
        <f t="shared" ca="1" si="26"/>
        <v>0.22000000000000006</v>
      </c>
    </row>
    <row r="190" spans="1:19" x14ac:dyDescent="0.2">
      <c r="A190" t="s">
        <v>204</v>
      </c>
      <c r="B190" s="1">
        <f t="shared" ca="1" si="27"/>
        <v>46199</v>
      </c>
      <c r="C190" s="1">
        <f t="shared" ca="1" si="28"/>
        <v>46207</v>
      </c>
      <c r="D190" s="1">
        <f t="shared" ca="1" si="29"/>
        <v>46210</v>
      </c>
      <c r="E190" t="str">
        <f t="shared" ca="1" si="30"/>
        <v>Allegro</v>
      </c>
      <c r="F190" t="str">
        <f t="shared" ca="1" si="31"/>
        <v>Spain</v>
      </c>
      <c r="G190" t="str">
        <f t="shared" ca="1" si="32"/>
        <v>Madrid</v>
      </c>
      <c r="H190" t="str">
        <f t="shared" ca="1" si="33"/>
        <v>Rail</v>
      </c>
      <c r="I190" t="str">
        <f t="shared" ca="1" si="34"/>
        <v>DB Schenker</v>
      </c>
      <c r="J190" t="s">
        <v>316</v>
      </c>
      <c r="K190">
        <f t="shared" ca="1" si="35"/>
        <v>1130</v>
      </c>
      <c r="L190">
        <f t="shared" ca="1" si="36"/>
        <v>904</v>
      </c>
      <c r="M190">
        <f t="shared" ca="1" si="37"/>
        <v>4075</v>
      </c>
      <c r="N190">
        <f t="shared" ca="1" si="38"/>
        <v>2386</v>
      </c>
      <c r="O190">
        <f ca="1">Table2[[#This Row],[Delivery Date]]-Table2[[#This Row],[Order date]]</f>
        <v>11</v>
      </c>
      <c r="P190">
        <f ca="1">MAX(0,Table2[[#This Row],[Delivery Date]]-Table2[[#This Row],[Planned Delivery Date]])</f>
        <v>3</v>
      </c>
      <c r="Q190" t="str">
        <f ca="1">IF(Table2[[#This Row],[Delivery Date]]&lt;=Table2[[#This Row],[Planned Delivery Date]],"On Time","Delayed")</f>
        <v>Delayed</v>
      </c>
      <c r="R190">
        <f ca="1">Table2[[#This Row],[Revenue]]-Table2[[#This Row],[Transport Cost]]</f>
        <v>226</v>
      </c>
      <c r="S190" s="4">
        <f t="shared" ca="1" si="26"/>
        <v>0.2</v>
      </c>
    </row>
    <row r="191" spans="1:19" x14ac:dyDescent="0.2">
      <c r="A191" t="s">
        <v>205</v>
      </c>
      <c r="B191" s="1">
        <f t="shared" ca="1" si="27"/>
        <v>46098</v>
      </c>
      <c r="C191" s="1">
        <f t="shared" ca="1" si="28"/>
        <v>46103</v>
      </c>
      <c r="D191" s="1">
        <f t="shared" ca="1" si="29"/>
        <v>46104</v>
      </c>
      <c r="E191" t="str">
        <f t="shared" ca="1" si="30"/>
        <v>Allegro</v>
      </c>
      <c r="F191" t="str">
        <f t="shared" ca="1" si="31"/>
        <v>Spain</v>
      </c>
      <c r="G191" t="str">
        <f t="shared" ca="1" si="32"/>
        <v>Barcelona</v>
      </c>
      <c r="H191" t="str">
        <f t="shared" ca="1" si="33"/>
        <v>Rail</v>
      </c>
      <c r="I191" t="str">
        <f t="shared" ca="1" si="34"/>
        <v>DB Schenker</v>
      </c>
      <c r="J191" t="s">
        <v>316</v>
      </c>
      <c r="K191">
        <f t="shared" ca="1" si="35"/>
        <v>1931</v>
      </c>
      <c r="L191">
        <f t="shared" ca="1" si="36"/>
        <v>1467.56</v>
      </c>
      <c r="M191">
        <f t="shared" ca="1" si="37"/>
        <v>3138</v>
      </c>
      <c r="N191">
        <f t="shared" ca="1" si="38"/>
        <v>2106</v>
      </c>
      <c r="O191">
        <f ca="1">Table2[[#This Row],[Delivery Date]]-Table2[[#This Row],[Order date]]</f>
        <v>6</v>
      </c>
      <c r="P191">
        <f ca="1">MAX(0,Table2[[#This Row],[Delivery Date]]-Table2[[#This Row],[Planned Delivery Date]])</f>
        <v>1</v>
      </c>
      <c r="Q191" t="str">
        <f ca="1">IF(Table2[[#This Row],[Delivery Date]]&lt;=Table2[[#This Row],[Planned Delivery Date]],"On Time","Delayed")</f>
        <v>Delayed</v>
      </c>
      <c r="R191">
        <f ca="1">Table2[[#This Row],[Revenue]]-Table2[[#This Row],[Transport Cost]]</f>
        <v>463.44000000000005</v>
      </c>
      <c r="S191" s="4">
        <f t="shared" ca="1" si="26"/>
        <v>0.24000000000000002</v>
      </c>
    </row>
    <row r="192" spans="1:19" x14ac:dyDescent="0.2">
      <c r="A192" t="s">
        <v>206</v>
      </c>
      <c r="B192" s="1">
        <f t="shared" ca="1" si="27"/>
        <v>46180</v>
      </c>
      <c r="C192" s="1">
        <f t="shared" ca="1" si="28"/>
        <v>46185</v>
      </c>
      <c r="D192" s="1">
        <f t="shared" ca="1" si="29"/>
        <v>46190</v>
      </c>
      <c r="E192" t="str">
        <f t="shared" ca="1" si="30"/>
        <v>Samsung</v>
      </c>
      <c r="F192" t="str">
        <f t="shared" ca="1" si="31"/>
        <v>France</v>
      </c>
      <c r="G192" t="str">
        <f t="shared" ca="1" si="32"/>
        <v>Lyon</v>
      </c>
      <c r="H192" t="str">
        <f t="shared" ca="1" si="33"/>
        <v>Road</v>
      </c>
      <c r="I192" t="str">
        <f t="shared" ca="1" si="34"/>
        <v>DB Schenker</v>
      </c>
      <c r="J192" t="s">
        <v>316</v>
      </c>
      <c r="K192">
        <f t="shared" ca="1" si="35"/>
        <v>2152</v>
      </c>
      <c r="L192">
        <f t="shared" ca="1" si="36"/>
        <v>1291.2</v>
      </c>
      <c r="M192">
        <f t="shared" ca="1" si="37"/>
        <v>4812</v>
      </c>
      <c r="N192">
        <f t="shared" ca="1" si="38"/>
        <v>1322</v>
      </c>
      <c r="O192">
        <f ca="1">Table2[[#This Row],[Delivery Date]]-Table2[[#This Row],[Order date]]</f>
        <v>10</v>
      </c>
      <c r="P192">
        <f ca="1">MAX(0,Table2[[#This Row],[Delivery Date]]-Table2[[#This Row],[Planned Delivery Date]])</f>
        <v>5</v>
      </c>
      <c r="Q192" t="str">
        <f ca="1">IF(Table2[[#This Row],[Delivery Date]]&lt;=Table2[[#This Row],[Planned Delivery Date]],"On Time","Delayed")</f>
        <v>Delayed</v>
      </c>
      <c r="R192">
        <f ca="1">Table2[[#This Row],[Revenue]]-Table2[[#This Row],[Transport Cost]]</f>
        <v>860.8</v>
      </c>
      <c r="S192" s="4">
        <f t="shared" ca="1" si="26"/>
        <v>0.39999999999999997</v>
      </c>
    </row>
    <row r="193" spans="1:19" x14ac:dyDescent="0.2">
      <c r="A193" t="s">
        <v>207</v>
      </c>
      <c r="B193" s="1">
        <f t="shared" ca="1" si="27"/>
        <v>46044</v>
      </c>
      <c r="C193" s="1">
        <f t="shared" ca="1" si="28"/>
        <v>46054</v>
      </c>
      <c r="D193" s="1">
        <f t="shared" ca="1" si="29"/>
        <v>46059</v>
      </c>
      <c r="E193" t="str">
        <f t="shared" ca="1" si="30"/>
        <v>Zara</v>
      </c>
      <c r="F193" t="str">
        <f t="shared" ca="1" si="31"/>
        <v>Germany</v>
      </c>
      <c r="G193" t="str">
        <f t="shared" ca="1" si="32"/>
        <v>Hamburg</v>
      </c>
      <c r="H193" t="str">
        <f t="shared" ca="1" si="33"/>
        <v>Sea</v>
      </c>
      <c r="I193" t="str">
        <f t="shared" ca="1" si="34"/>
        <v>Kuehne+Nagel</v>
      </c>
      <c r="J193" t="s">
        <v>316</v>
      </c>
      <c r="K193">
        <f t="shared" ca="1" si="35"/>
        <v>4794</v>
      </c>
      <c r="L193">
        <f t="shared" ca="1" si="36"/>
        <v>2636.7</v>
      </c>
      <c r="M193">
        <f t="shared" ca="1" si="37"/>
        <v>12398</v>
      </c>
      <c r="N193">
        <f t="shared" ca="1" si="38"/>
        <v>820</v>
      </c>
      <c r="O193">
        <f ca="1">Table2[[#This Row],[Delivery Date]]-Table2[[#This Row],[Order date]]</f>
        <v>15</v>
      </c>
      <c r="P193">
        <f ca="1">MAX(0,Table2[[#This Row],[Delivery Date]]-Table2[[#This Row],[Planned Delivery Date]])</f>
        <v>5</v>
      </c>
      <c r="Q193" t="str">
        <f ca="1">IF(Table2[[#This Row],[Delivery Date]]&lt;=Table2[[#This Row],[Planned Delivery Date]],"On Time","Delayed")</f>
        <v>Delayed</v>
      </c>
      <c r="R193">
        <f ca="1">Table2[[#This Row],[Revenue]]-Table2[[#This Row],[Transport Cost]]</f>
        <v>2157.3000000000002</v>
      </c>
      <c r="S193" s="4">
        <f t="shared" ca="1" si="26"/>
        <v>0.45</v>
      </c>
    </row>
    <row r="194" spans="1:19" x14ac:dyDescent="0.2">
      <c r="A194" t="s">
        <v>208</v>
      </c>
      <c r="B194" s="1">
        <f t="shared" ca="1" si="27"/>
        <v>46153</v>
      </c>
      <c r="C194" s="1">
        <f t="shared" ca="1" si="28"/>
        <v>46158</v>
      </c>
      <c r="D194" s="1">
        <f t="shared" ca="1" si="29"/>
        <v>46160</v>
      </c>
      <c r="E194" t="str">
        <f t="shared" ca="1" si="30"/>
        <v>H&amp;M</v>
      </c>
      <c r="F194" t="str">
        <f t="shared" ca="1" si="31"/>
        <v>Poland</v>
      </c>
      <c r="G194" t="str">
        <f t="shared" ca="1" si="32"/>
        <v>Warsaw</v>
      </c>
      <c r="H194" t="str">
        <f t="shared" ca="1" si="33"/>
        <v>Road</v>
      </c>
      <c r="I194" t="str">
        <f t="shared" ca="1" si="34"/>
        <v>UPS</v>
      </c>
      <c r="J194" t="s">
        <v>316</v>
      </c>
      <c r="K194">
        <f t="shared" ca="1" si="35"/>
        <v>1075</v>
      </c>
      <c r="L194">
        <f t="shared" ca="1" si="36"/>
        <v>741.75</v>
      </c>
      <c r="M194">
        <f t="shared" ca="1" si="37"/>
        <v>3138</v>
      </c>
      <c r="N194">
        <f t="shared" ca="1" si="38"/>
        <v>443</v>
      </c>
      <c r="O194">
        <f ca="1">Table2[[#This Row],[Delivery Date]]-Table2[[#This Row],[Order date]]</f>
        <v>7</v>
      </c>
      <c r="P194">
        <f ca="1">MAX(0,Table2[[#This Row],[Delivery Date]]-Table2[[#This Row],[Planned Delivery Date]])</f>
        <v>2</v>
      </c>
      <c r="Q194" t="str">
        <f ca="1">IF(Table2[[#This Row],[Delivery Date]]&lt;=Table2[[#This Row],[Planned Delivery Date]],"On Time","Delayed")</f>
        <v>Delayed</v>
      </c>
      <c r="R194">
        <f ca="1">Table2[[#This Row],[Revenue]]-Table2[[#This Row],[Transport Cost]]</f>
        <v>333.25</v>
      </c>
      <c r="S194" s="4">
        <f t="shared" ref="S194:S257" ca="1" si="39">IFERROR(R194/K194,0)</f>
        <v>0.31</v>
      </c>
    </row>
    <row r="195" spans="1:19" x14ac:dyDescent="0.2">
      <c r="A195" t="s">
        <v>209</v>
      </c>
      <c r="B195" s="1">
        <f t="shared" ref="B195:C258" ca="1" si="40">DATE(2026,1,1)+RANDBETWEEN(0,180)</f>
        <v>46199</v>
      </c>
      <c r="C195" s="1">
        <f t="shared" ref="C195:C258" ca="1" si="41">B195+RANDBETWEEN(2,10)</f>
        <v>46206</v>
      </c>
      <c r="D195" s="1">
        <f t="shared" ref="D195:D258" ca="1" si="42">C195+RANDBETWEEN(-1,5)</f>
        <v>46207</v>
      </c>
      <c r="E195" t="str">
        <f t="shared" ref="E195:E258" ca="1" si="43">CHOOSE(RANDBETWEEN(1,8), "IKEA", "Samsung", "Zara", "Allegro", "Bosch", "Decathlon", "H&amp;M", "Philips")</f>
        <v>Samsung</v>
      </c>
      <c r="F195" t="str">
        <f t="shared" ref="F195:F258" ca="1" si="44">CHOOSE(RANDBETWEEN(1,6), "Poland", "Germany", "France", "Czech Republic", "Spain", "Italy")</f>
        <v>Germany</v>
      </c>
      <c r="G195" t="str">
        <f t="shared" ref="G195:G258" ca="1" si="45">IF(F195="Poland",CHOOSE(RANDBETWEEN(1,3),"Warsaw","Krakow","Gdansk"),
IF(F195="Germany",CHOOSE(RANDBETWEEN(1,3),"Berlin","Hamburg","Munich"),
IF(F195="Czech Republic","Prague",
IF(F195="Netherlands","Amsterdam",
IF(F195="France",CHOOSE(RANDBETWEEN(1,2),"Paris","Lyon"),
IF(F195="Spain",CHOOSE(RANDBETWEEN(1,2),"Madrid","Barcelona"),
IF(F195="Italy",CHOOSE(RANDBETWEEN(1,2),"Rome","Milan"),"")))))))</f>
        <v>Hamburg</v>
      </c>
      <c r="H195" t="str">
        <f t="shared" ref="H195:H258" ca="1" si="46">CHOOSE(RANDBETWEEN(1,4), "Road", "Air", "Sea", "Rail")</f>
        <v>Air</v>
      </c>
      <c r="I195" t="str">
        <f t="shared" ref="I195:I258" ca="1" si="47">IF(H195="Sea",CHOOSE(RANDBETWEEN(1,2),"Maersk","Kuehne+Nagel"),
IF(H195="Air",CHOOSE(RANDBETWEEN(1,3),"DHL","UPS","FedEx"),
IF(H195="Rail",CHOOSE(RANDBETWEEN(1,2),"DB Schenker","Kuehne+Nagel"),
IF(H195="Road",CHOOSE(RANDBETWEEN(1,5),"DHL","DB Schenker","UPS","FedEx","GLS"),""))))</f>
        <v>DHL</v>
      </c>
      <c r="J195" t="s">
        <v>316</v>
      </c>
      <c r="K195">
        <f t="shared" ref="K195:K258" ca="1" si="48">IF(H195="Road",RANDBETWEEN(500,2500),IF(H195="Rail",RANDBETWEEN(800,3000),IF(H195="Sea",RANDBETWEEN(1500,5000),IF(H195="Air",RANDBETWEEN(2000,6000),""))))</f>
        <v>5389</v>
      </c>
      <c r="L195">
        <f t="shared" ref="L195:L258" ca="1" si="49">K195*RANDBETWEEN(55,85)/100</f>
        <v>3395.07</v>
      </c>
      <c r="M195">
        <f t="shared" ref="M195:M258" ca="1" si="50">IF(H195="Air",RANDBETWEEN(50,800),IF(H195="Road",RANDBETWEEN(200,5000),IF(H195="Rail",RANDBETWEEN(1000,10000),IF(H195="Sea",RANDBETWEEN(2000,15000),""))))</f>
        <v>269</v>
      </c>
      <c r="N195">
        <f t="shared" ref="N195:N258" ca="1" si="51">IF(F195="Poland",RANDBETWEEN(50,600),IF(F195="Germany",RANDBETWEEN(500,1200),IF(F195="Czech Republic",RANDBETWEEN(500,900),IF(F195="Netherlands",RANDBETWEEN(1000,1400),IF(F195="France",RANDBETWEEN(1200,1800),IF(F195="Spain",RANDBETWEEN(2000,2600),IF(F195="Italy",RANDBETWEEN(1200,2000),"")))))))</f>
        <v>504</v>
      </c>
      <c r="O195">
        <f ca="1">Table2[[#This Row],[Delivery Date]]-Table2[[#This Row],[Order date]]</f>
        <v>8</v>
      </c>
      <c r="P195">
        <f ca="1">MAX(0,Table2[[#This Row],[Delivery Date]]-Table2[[#This Row],[Planned Delivery Date]])</f>
        <v>1</v>
      </c>
      <c r="Q195" t="str">
        <f ca="1">IF(Table2[[#This Row],[Delivery Date]]&lt;=Table2[[#This Row],[Planned Delivery Date]],"On Time","Delayed")</f>
        <v>Delayed</v>
      </c>
      <c r="R195">
        <f ca="1">Table2[[#This Row],[Revenue]]-Table2[[#This Row],[Transport Cost]]</f>
        <v>1993.9299999999998</v>
      </c>
      <c r="S195" s="4">
        <f t="shared" ca="1" si="39"/>
        <v>0.37</v>
      </c>
    </row>
    <row r="196" spans="1:19" x14ac:dyDescent="0.2">
      <c r="A196" t="s">
        <v>210</v>
      </c>
      <c r="B196" s="1">
        <f t="shared" ca="1" si="40"/>
        <v>46116</v>
      </c>
      <c r="C196" s="1">
        <f t="shared" ca="1" si="41"/>
        <v>46121</v>
      </c>
      <c r="D196" s="1">
        <f t="shared" ca="1" si="42"/>
        <v>46125</v>
      </c>
      <c r="E196" t="str">
        <f t="shared" ca="1" si="43"/>
        <v>Allegro</v>
      </c>
      <c r="F196" t="str">
        <f t="shared" ca="1" si="44"/>
        <v>Italy</v>
      </c>
      <c r="G196" t="str">
        <f t="shared" ca="1" si="45"/>
        <v>Milan</v>
      </c>
      <c r="H196" t="str">
        <f t="shared" ca="1" si="46"/>
        <v>Sea</v>
      </c>
      <c r="I196" t="str">
        <f t="shared" ca="1" si="47"/>
        <v>Kuehne+Nagel</v>
      </c>
      <c r="J196" t="s">
        <v>316</v>
      </c>
      <c r="K196">
        <f t="shared" ca="1" si="48"/>
        <v>4550</v>
      </c>
      <c r="L196">
        <f t="shared" ca="1" si="49"/>
        <v>3094</v>
      </c>
      <c r="M196">
        <f t="shared" ca="1" si="50"/>
        <v>9405</v>
      </c>
      <c r="N196">
        <f t="shared" ca="1" si="51"/>
        <v>1981</v>
      </c>
      <c r="O196">
        <f ca="1">Table2[[#This Row],[Delivery Date]]-Table2[[#This Row],[Order date]]</f>
        <v>9</v>
      </c>
      <c r="P196">
        <f ca="1">MAX(0,Table2[[#This Row],[Delivery Date]]-Table2[[#This Row],[Planned Delivery Date]])</f>
        <v>4</v>
      </c>
      <c r="Q196" t="str">
        <f ca="1">IF(Table2[[#This Row],[Delivery Date]]&lt;=Table2[[#This Row],[Planned Delivery Date]],"On Time","Delayed")</f>
        <v>Delayed</v>
      </c>
      <c r="R196">
        <f ca="1">Table2[[#This Row],[Revenue]]-Table2[[#This Row],[Transport Cost]]</f>
        <v>1456</v>
      </c>
      <c r="S196" s="4">
        <f t="shared" ca="1" si="39"/>
        <v>0.32</v>
      </c>
    </row>
    <row r="197" spans="1:19" x14ac:dyDescent="0.2">
      <c r="A197" t="s">
        <v>211</v>
      </c>
      <c r="B197" s="1">
        <f t="shared" ca="1" si="40"/>
        <v>46174</v>
      </c>
      <c r="C197" s="1">
        <f t="shared" ca="1" si="41"/>
        <v>46184</v>
      </c>
      <c r="D197" s="1">
        <f t="shared" ca="1" si="42"/>
        <v>46188</v>
      </c>
      <c r="E197" t="str">
        <f t="shared" ca="1" si="43"/>
        <v>IKEA</v>
      </c>
      <c r="F197" t="str">
        <f t="shared" ca="1" si="44"/>
        <v>Spain</v>
      </c>
      <c r="G197" t="str">
        <f t="shared" ca="1" si="45"/>
        <v>Barcelona</v>
      </c>
      <c r="H197" t="str">
        <f t="shared" ca="1" si="46"/>
        <v>Sea</v>
      </c>
      <c r="I197" t="str">
        <f t="shared" ca="1" si="47"/>
        <v>Kuehne+Nagel</v>
      </c>
      <c r="J197" t="s">
        <v>316</v>
      </c>
      <c r="K197">
        <f t="shared" ca="1" si="48"/>
        <v>4872</v>
      </c>
      <c r="L197">
        <f t="shared" ca="1" si="49"/>
        <v>3897.6</v>
      </c>
      <c r="M197">
        <f t="shared" ca="1" si="50"/>
        <v>2060</v>
      </c>
      <c r="N197">
        <f t="shared" ca="1" si="51"/>
        <v>2394</v>
      </c>
      <c r="O197">
        <f ca="1">Table2[[#This Row],[Delivery Date]]-Table2[[#This Row],[Order date]]</f>
        <v>14</v>
      </c>
      <c r="P197">
        <f ca="1">MAX(0,Table2[[#This Row],[Delivery Date]]-Table2[[#This Row],[Planned Delivery Date]])</f>
        <v>4</v>
      </c>
      <c r="Q197" t="str">
        <f ca="1">IF(Table2[[#This Row],[Delivery Date]]&lt;=Table2[[#This Row],[Planned Delivery Date]],"On Time","Delayed")</f>
        <v>Delayed</v>
      </c>
      <c r="R197">
        <f ca="1">Table2[[#This Row],[Revenue]]-Table2[[#This Row],[Transport Cost]]</f>
        <v>974.40000000000009</v>
      </c>
      <c r="S197" s="4">
        <f t="shared" ca="1" si="39"/>
        <v>0.2</v>
      </c>
    </row>
    <row r="198" spans="1:19" x14ac:dyDescent="0.2">
      <c r="A198" t="s">
        <v>212</v>
      </c>
      <c r="B198" s="1">
        <f t="shared" ca="1" si="40"/>
        <v>46098</v>
      </c>
      <c r="C198" s="1">
        <f t="shared" ca="1" si="41"/>
        <v>46107</v>
      </c>
      <c r="D198" s="1">
        <f t="shared" ca="1" si="42"/>
        <v>46106</v>
      </c>
      <c r="E198" t="str">
        <f t="shared" ca="1" si="43"/>
        <v>Zara</v>
      </c>
      <c r="F198" t="str">
        <f t="shared" ca="1" si="44"/>
        <v>Italy</v>
      </c>
      <c r="G198" t="str">
        <f t="shared" ca="1" si="45"/>
        <v>Rome</v>
      </c>
      <c r="H198" t="str">
        <f t="shared" ca="1" si="46"/>
        <v>Air</v>
      </c>
      <c r="I198" t="str">
        <f t="shared" ca="1" si="47"/>
        <v>UPS</v>
      </c>
      <c r="J198" t="s">
        <v>316</v>
      </c>
      <c r="K198">
        <f t="shared" ca="1" si="48"/>
        <v>5546</v>
      </c>
      <c r="L198">
        <f t="shared" ca="1" si="49"/>
        <v>4547.72</v>
      </c>
      <c r="M198">
        <f t="shared" ca="1" si="50"/>
        <v>419</v>
      </c>
      <c r="N198">
        <f t="shared" ca="1" si="51"/>
        <v>1388</v>
      </c>
      <c r="O198">
        <f ca="1">Table2[[#This Row],[Delivery Date]]-Table2[[#This Row],[Order date]]</f>
        <v>8</v>
      </c>
      <c r="P198">
        <f ca="1">MAX(0,Table2[[#This Row],[Delivery Date]]-Table2[[#This Row],[Planned Delivery Date]])</f>
        <v>0</v>
      </c>
      <c r="Q198" t="str">
        <f ca="1">IF(Table2[[#This Row],[Delivery Date]]&lt;=Table2[[#This Row],[Planned Delivery Date]],"On Time","Delayed")</f>
        <v>On Time</v>
      </c>
      <c r="R198">
        <f ca="1">Table2[[#This Row],[Revenue]]-Table2[[#This Row],[Transport Cost]]</f>
        <v>998.27999999999975</v>
      </c>
      <c r="S198" s="4">
        <f t="shared" ca="1" si="39"/>
        <v>0.17999999999999997</v>
      </c>
    </row>
    <row r="199" spans="1:19" x14ac:dyDescent="0.2">
      <c r="A199" t="s">
        <v>213</v>
      </c>
      <c r="B199" s="1">
        <f t="shared" ca="1" si="40"/>
        <v>46035</v>
      </c>
      <c r="C199" s="1">
        <f t="shared" ca="1" si="41"/>
        <v>46039</v>
      </c>
      <c r="D199" s="1">
        <f t="shared" ca="1" si="42"/>
        <v>46038</v>
      </c>
      <c r="E199" t="str">
        <f t="shared" ca="1" si="43"/>
        <v>Samsung</v>
      </c>
      <c r="F199" t="str">
        <f t="shared" ca="1" si="44"/>
        <v>Germany</v>
      </c>
      <c r="G199" t="str">
        <f t="shared" ca="1" si="45"/>
        <v>Munich</v>
      </c>
      <c r="H199" t="str">
        <f t="shared" ca="1" si="46"/>
        <v>Sea</v>
      </c>
      <c r="I199" t="str">
        <f t="shared" ca="1" si="47"/>
        <v>Maersk</v>
      </c>
      <c r="J199" t="s">
        <v>316</v>
      </c>
      <c r="K199">
        <f t="shared" ca="1" si="48"/>
        <v>1670</v>
      </c>
      <c r="L199">
        <f t="shared" ca="1" si="49"/>
        <v>1018.7</v>
      </c>
      <c r="M199">
        <f t="shared" ca="1" si="50"/>
        <v>2285</v>
      </c>
      <c r="N199">
        <f t="shared" ca="1" si="51"/>
        <v>759</v>
      </c>
      <c r="O199">
        <f ca="1">Table2[[#This Row],[Delivery Date]]-Table2[[#This Row],[Order date]]</f>
        <v>3</v>
      </c>
      <c r="P199">
        <f ca="1">MAX(0,Table2[[#This Row],[Delivery Date]]-Table2[[#This Row],[Planned Delivery Date]])</f>
        <v>0</v>
      </c>
      <c r="Q199" t="str">
        <f ca="1">IF(Table2[[#This Row],[Delivery Date]]&lt;=Table2[[#This Row],[Planned Delivery Date]],"On Time","Delayed")</f>
        <v>On Time</v>
      </c>
      <c r="R199">
        <f ca="1">Table2[[#This Row],[Revenue]]-Table2[[#This Row],[Transport Cost]]</f>
        <v>651.29999999999995</v>
      </c>
      <c r="S199" s="4">
        <f t="shared" ca="1" si="39"/>
        <v>0.38999999999999996</v>
      </c>
    </row>
    <row r="200" spans="1:19" x14ac:dyDescent="0.2">
      <c r="A200" t="s">
        <v>214</v>
      </c>
      <c r="B200" s="1">
        <f t="shared" ca="1" si="40"/>
        <v>46130</v>
      </c>
      <c r="C200" s="1">
        <f t="shared" ca="1" si="41"/>
        <v>46137</v>
      </c>
      <c r="D200" s="1">
        <f t="shared" ca="1" si="42"/>
        <v>46142</v>
      </c>
      <c r="E200" t="str">
        <f t="shared" ca="1" si="43"/>
        <v>Bosch</v>
      </c>
      <c r="F200" t="str">
        <f t="shared" ca="1" si="44"/>
        <v>Czech Republic</v>
      </c>
      <c r="G200" t="str">
        <f t="shared" ca="1" si="45"/>
        <v>Prague</v>
      </c>
      <c r="H200" t="str">
        <f t="shared" ca="1" si="46"/>
        <v>Rail</v>
      </c>
      <c r="I200" t="str">
        <f t="shared" ca="1" si="47"/>
        <v>DB Schenker</v>
      </c>
      <c r="J200" t="s">
        <v>316</v>
      </c>
      <c r="K200">
        <f t="shared" ca="1" si="48"/>
        <v>1866</v>
      </c>
      <c r="L200">
        <f t="shared" ca="1" si="49"/>
        <v>1231.56</v>
      </c>
      <c r="M200">
        <f t="shared" ca="1" si="50"/>
        <v>6772</v>
      </c>
      <c r="N200">
        <f t="shared" ca="1" si="51"/>
        <v>869</v>
      </c>
      <c r="O200">
        <f ca="1">Table2[[#This Row],[Delivery Date]]-Table2[[#This Row],[Order date]]</f>
        <v>12</v>
      </c>
      <c r="P200">
        <f ca="1">MAX(0,Table2[[#This Row],[Delivery Date]]-Table2[[#This Row],[Planned Delivery Date]])</f>
        <v>5</v>
      </c>
      <c r="Q200" t="str">
        <f ca="1">IF(Table2[[#This Row],[Delivery Date]]&lt;=Table2[[#This Row],[Planned Delivery Date]],"On Time","Delayed")</f>
        <v>Delayed</v>
      </c>
      <c r="R200">
        <f ca="1">Table2[[#This Row],[Revenue]]-Table2[[#This Row],[Transport Cost]]</f>
        <v>634.44000000000005</v>
      </c>
      <c r="S200" s="4">
        <f t="shared" ca="1" si="39"/>
        <v>0.34</v>
      </c>
    </row>
    <row r="201" spans="1:19" x14ac:dyDescent="0.2">
      <c r="A201" t="s">
        <v>215</v>
      </c>
      <c r="B201" s="1">
        <f t="shared" ca="1" si="40"/>
        <v>46099</v>
      </c>
      <c r="C201" s="1">
        <f t="shared" ca="1" si="41"/>
        <v>46106</v>
      </c>
      <c r="D201" s="1">
        <f t="shared" ca="1" si="42"/>
        <v>46107</v>
      </c>
      <c r="E201" t="str">
        <f t="shared" ca="1" si="43"/>
        <v>IKEA</v>
      </c>
      <c r="F201" t="str">
        <f t="shared" ca="1" si="44"/>
        <v>France</v>
      </c>
      <c r="G201" t="str">
        <f t="shared" ca="1" si="45"/>
        <v>Lyon</v>
      </c>
      <c r="H201" t="str">
        <f t="shared" ca="1" si="46"/>
        <v>Road</v>
      </c>
      <c r="I201" t="str">
        <f t="shared" ca="1" si="47"/>
        <v>FedEx</v>
      </c>
      <c r="J201" t="s">
        <v>316</v>
      </c>
      <c r="K201">
        <f t="shared" ca="1" si="48"/>
        <v>1545</v>
      </c>
      <c r="L201">
        <f t="shared" ca="1" si="49"/>
        <v>1081.5</v>
      </c>
      <c r="M201">
        <f t="shared" ca="1" si="50"/>
        <v>1384</v>
      </c>
      <c r="N201">
        <f t="shared" ca="1" si="51"/>
        <v>1695</v>
      </c>
      <c r="O201">
        <f ca="1">Table2[[#This Row],[Delivery Date]]-Table2[[#This Row],[Order date]]</f>
        <v>8</v>
      </c>
      <c r="P201">
        <f ca="1">MAX(0,Table2[[#This Row],[Delivery Date]]-Table2[[#This Row],[Planned Delivery Date]])</f>
        <v>1</v>
      </c>
      <c r="Q201" t="str">
        <f ca="1">IF(Table2[[#This Row],[Delivery Date]]&lt;=Table2[[#This Row],[Planned Delivery Date]],"On Time","Delayed")</f>
        <v>Delayed</v>
      </c>
      <c r="R201">
        <f ca="1">Table2[[#This Row],[Revenue]]-Table2[[#This Row],[Transport Cost]]</f>
        <v>463.5</v>
      </c>
      <c r="S201" s="4">
        <f t="shared" ca="1" si="39"/>
        <v>0.3</v>
      </c>
    </row>
    <row r="202" spans="1:19" x14ac:dyDescent="0.2">
      <c r="A202" t="s">
        <v>216</v>
      </c>
      <c r="B202" s="1">
        <f t="shared" ca="1" si="40"/>
        <v>46112</v>
      </c>
      <c r="C202" s="1">
        <f t="shared" ca="1" si="41"/>
        <v>46120</v>
      </c>
      <c r="D202" s="1">
        <f t="shared" ca="1" si="42"/>
        <v>46125</v>
      </c>
      <c r="E202" t="str">
        <f t="shared" ca="1" si="43"/>
        <v>H&amp;M</v>
      </c>
      <c r="F202" t="str">
        <f t="shared" ca="1" si="44"/>
        <v>Czech Republic</v>
      </c>
      <c r="G202" t="str">
        <f t="shared" ca="1" si="45"/>
        <v>Prague</v>
      </c>
      <c r="H202" t="str">
        <f t="shared" ca="1" si="46"/>
        <v>Air</v>
      </c>
      <c r="I202" t="str">
        <f t="shared" ca="1" si="47"/>
        <v>UPS</v>
      </c>
      <c r="J202" t="s">
        <v>316</v>
      </c>
      <c r="K202">
        <f t="shared" ca="1" si="48"/>
        <v>4508</v>
      </c>
      <c r="L202">
        <f t="shared" ca="1" si="49"/>
        <v>2704.8</v>
      </c>
      <c r="M202">
        <f t="shared" ca="1" si="50"/>
        <v>443</v>
      </c>
      <c r="N202">
        <f t="shared" ca="1" si="51"/>
        <v>893</v>
      </c>
      <c r="O202">
        <f ca="1">Table2[[#This Row],[Delivery Date]]-Table2[[#This Row],[Order date]]</f>
        <v>13</v>
      </c>
      <c r="P202">
        <f ca="1">MAX(0,Table2[[#This Row],[Delivery Date]]-Table2[[#This Row],[Planned Delivery Date]])</f>
        <v>5</v>
      </c>
      <c r="Q202" t="str">
        <f ca="1">IF(Table2[[#This Row],[Delivery Date]]&lt;=Table2[[#This Row],[Planned Delivery Date]],"On Time","Delayed")</f>
        <v>Delayed</v>
      </c>
      <c r="R202">
        <f ca="1">Table2[[#This Row],[Revenue]]-Table2[[#This Row],[Transport Cost]]</f>
        <v>1803.1999999999998</v>
      </c>
      <c r="S202" s="4">
        <f t="shared" ca="1" si="39"/>
        <v>0.39999999999999997</v>
      </c>
    </row>
    <row r="203" spans="1:19" x14ac:dyDescent="0.2">
      <c r="A203" t="s">
        <v>217</v>
      </c>
      <c r="B203" s="1">
        <f t="shared" ca="1" si="40"/>
        <v>46078</v>
      </c>
      <c r="C203" s="1">
        <f t="shared" ca="1" si="41"/>
        <v>46088</v>
      </c>
      <c r="D203" s="1">
        <f t="shared" ca="1" si="42"/>
        <v>46089</v>
      </c>
      <c r="E203" t="str">
        <f t="shared" ca="1" si="43"/>
        <v>Philips</v>
      </c>
      <c r="F203" t="str">
        <f t="shared" ca="1" si="44"/>
        <v>Germany</v>
      </c>
      <c r="G203" t="str">
        <f t="shared" ca="1" si="45"/>
        <v>Munich</v>
      </c>
      <c r="H203" t="str">
        <f t="shared" ca="1" si="46"/>
        <v>Sea</v>
      </c>
      <c r="I203" t="str">
        <f t="shared" ca="1" si="47"/>
        <v>Kuehne+Nagel</v>
      </c>
      <c r="J203" t="s">
        <v>316</v>
      </c>
      <c r="K203">
        <f t="shared" ca="1" si="48"/>
        <v>4644</v>
      </c>
      <c r="L203">
        <f t="shared" ca="1" si="49"/>
        <v>2647.08</v>
      </c>
      <c r="M203">
        <f t="shared" ca="1" si="50"/>
        <v>10183</v>
      </c>
      <c r="N203">
        <f t="shared" ca="1" si="51"/>
        <v>809</v>
      </c>
      <c r="O203">
        <f ca="1">Table2[[#This Row],[Delivery Date]]-Table2[[#This Row],[Order date]]</f>
        <v>11</v>
      </c>
      <c r="P203">
        <f ca="1">MAX(0,Table2[[#This Row],[Delivery Date]]-Table2[[#This Row],[Planned Delivery Date]])</f>
        <v>1</v>
      </c>
      <c r="Q203" t="str">
        <f ca="1">IF(Table2[[#This Row],[Delivery Date]]&lt;=Table2[[#This Row],[Planned Delivery Date]],"On Time","Delayed")</f>
        <v>Delayed</v>
      </c>
      <c r="R203">
        <f ca="1">Table2[[#This Row],[Revenue]]-Table2[[#This Row],[Transport Cost]]</f>
        <v>1996.92</v>
      </c>
      <c r="S203" s="4">
        <f t="shared" ca="1" si="39"/>
        <v>0.43</v>
      </c>
    </row>
    <row r="204" spans="1:19" x14ac:dyDescent="0.2">
      <c r="A204" t="s">
        <v>218</v>
      </c>
      <c r="B204" s="1">
        <f t="shared" ca="1" si="40"/>
        <v>46091</v>
      </c>
      <c r="C204" s="1">
        <f t="shared" ca="1" si="41"/>
        <v>46095</v>
      </c>
      <c r="D204" s="1">
        <f t="shared" ca="1" si="42"/>
        <v>46095</v>
      </c>
      <c r="E204" t="str">
        <f t="shared" ca="1" si="43"/>
        <v>Zara</v>
      </c>
      <c r="F204" t="str">
        <f t="shared" ca="1" si="44"/>
        <v>Germany</v>
      </c>
      <c r="G204" t="str">
        <f t="shared" ca="1" si="45"/>
        <v>Hamburg</v>
      </c>
      <c r="H204" t="str">
        <f t="shared" ca="1" si="46"/>
        <v>Sea</v>
      </c>
      <c r="I204" t="str">
        <f t="shared" ca="1" si="47"/>
        <v>Kuehne+Nagel</v>
      </c>
      <c r="J204" t="s">
        <v>316</v>
      </c>
      <c r="K204">
        <f t="shared" ca="1" si="48"/>
        <v>2924</v>
      </c>
      <c r="L204">
        <f t="shared" ca="1" si="49"/>
        <v>2485.4</v>
      </c>
      <c r="M204">
        <f t="shared" ca="1" si="50"/>
        <v>2728</v>
      </c>
      <c r="N204">
        <f t="shared" ca="1" si="51"/>
        <v>842</v>
      </c>
      <c r="O204">
        <f ca="1">Table2[[#This Row],[Delivery Date]]-Table2[[#This Row],[Order date]]</f>
        <v>4</v>
      </c>
      <c r="P204">
        <f ca="1">MAX(0,Table2[[#This Row],[Delivery Date]]-Table2[[#This Row],[Planned Delivery Date]])</f>
        <v>0</v>
      </c>
      <c r="Q204" t="str">
        <f ca="1">IF(Table2[[#This Row],[Delivery Date]]&lt;=Table2[[#This Row],[Planned Delivery Date]],"On Time","Delayed")</f>
        <v>On Time</v>
      </c>
      <c r="R204">
        <f ca="1">Table2[[#This Row],[Revenue]]-Table2[[#This Row],[Transport Cost]]</f>
        <v>438.59999999999991</v>
      </c>
      <c r="S204" s="4">
        <f t="shared" ca="1" si="39"/>
        <v>0.14999999999999997</v>
      </c>
    </row>
    <row r="205" spans="1:19" x14ac:dyDescent="0.2">
      <c r="A205" t="s">
        <v>219</v>
      </c>
      <c r="B205" s="1">
        <f t="shared" ca="1" si="40"/>
        <v>46140</v>
      </c>
      <c r="C205" s="1">
        <f t="shared" ca="1" si="41"/>
        <v>46144</v>
      </c>
      <c r="D205" s="1">
        <f t="shared" ca="1" si="42"/>
        <v>46145</v>
      </c>
      <c r="E205" t="str">
        <f t="shared" ca="1" si="43"/>
        <v>H&amp;M</v>
      </c>
      <c r="F205" t="str">
        <f t="shared" ca="1" si="44"/>
        <v>Poland</v>
      </c>
      <c r="G205" t="str">
        <f t="shared" ca="1" si="45"/>
        <v>Warsaw</v>
      </c>
      <c r="H205" t="str">
        <f t="shared" ca="1" si="46"/>
        <v>Air</v>
      </c>
      <c r="I205" t="str">
        <f t="shared" ca="1" si="47"/>
        <v>UPS</v>
      </c>
      <c r="J205" t="s">
        <v>316</v>
      </c>
      <c r="K205">
        <f t="shared" ca="1" si="48"/>
        <v>3527</v>
      </c>
      <c r="L205">
        <f t="shared" ca="1" si="49"/>
        <v>2962.68</v>
      </c>
      <c r="M205">
        <f t="shared" ca="1" si="50"/>
        <v>628</v>
      </c>
      <c r="N205">
        <f t="shared" ca="1" si="51"/>
        <v>91</v>
      </c>
      <c r="O205">
        <f ca="1">Table2[[#This Row],[Delivery Date]]-Table2[[#This Row],[Order date]]</f>
        <v>5</v>
      </c>
      <c r="P205">
        <f ca="1">MAX(0,Table2[[#This Row],[Delivery Date]]-Table2[[#This Row],[Planned Delivery Date]])</f>
        <v>1</v>
      </c>
      <c r="Q205" t="str">
        <f ca="1">IF(Table2[[#This Row],[Delivery Date]]&lt;=Table2[[#This Row],[Planned Delivery Date]],"On Time","Delayed")</f>
        <v>Delayed</v>
      </c>
      <c r="R205">
        <f ca="1">Table2[[#This Row],[Revenue]]-Table2[[#This Row],[Transport Cost]]</f>
        <v>564.32000000000016</v>
      </c>
      <c r="S205" s="4">
        <f t="shared" ca="1" si="39"/>
        <v>0.16000000000000006</v>
      </c>
    </row>
    <row r="206" spans="1:19" x14ac:dyDescent="0.2">
      <c r="A206" t="s">
        <v>220</v>
      </c>
      <c r="B206" s="1">
        <f t="shared" ca="1" si="40"/>
        <v>46195</v>
      </c>
      <c r="C206" s="1">
        <f t="shared" ca="1" si="41"/>
        <v>46205</v>
      </c>
      <c r="D206" s="1">
        <f t="shared" ca="1" si="42"/>
        <v>46209</v>
      </c>
      <c r="E206" t="str">
        <f t="shared" ca="1" si="43"/>
        <v>IKEA</v>
      </c>
      <c r="F206" t="str">
        <f t="shared" ca="1" si="44"/>
        <v>France</v>
      </c>
      <c r="G206" t="str">
        <f t="shared" ca="1" si="45"/>
        <v>Lyon</v>
      </c>
      <c r="H206" t="str">
        <f t="shared" ca="1" si="46"/>
        <v>Air</v>
      </c>
      <c r="I206" t="str">
        <f t="shared" ca="1" si="47"/>
        <v>FedEx</v>
      </c>
      <c r="J206" t="s">
        <v>316</v>
      </c>
      <c r="K206">
        <f t="shared" ca="1" si="48"/>
        <v>5789</v>
      </c>
      <c r="L206">
        <f t="shared" ca="1" si="49"/>
        <v>3589.18</v>
      </c>
      <c r="M206">
        <f t="shared" ca="1" si="50"/>
        <v>443</v>
      </c>
      <c r="N206">
        <f t="shared" ca="1" si="51"/>
        <v>1613</v>
      </c>
      <c r="O206">
        <f ca="1">Table2[[#This Row],[Delivery Date]]-Table2[[#This Row],[Order date]]</f>
        <v>14</v>
      </c>
      <c r="P206">
        <f ca="1">MAX(0,Table2[[#This Row],[Delivery Date]]-Table2[[#This Row],[Planned Delivery Date]])</f>
        <v>4</v>
      </c>
      <c r="Q206" t="str">
        <f ca="1">IF(Table2[[#This Row],[Delivery Date]]&lt;=Table2[[#This Row],[Planned Delivery Date]],"On Time","Delayed")</f>
        <v>Delayed</v>
      </c>
      <c r="R206">
        <f ca="1">Table2[[#This Row],[Revenue]]-Table2[[#This Row],[Transport Cost]]</f>
        <v>2199.8200000000002</v>
      </c>
      <c r="S206" s="4">
        <f t="shared" ca="1" si="39"/>
        <v>0.38</v>
      </c>
    </row>
    <row r="207" spans="1:19" x14ac:dyDescent="0.2">
      <c r="A207" t="s">
        <v>221</v>
      </c>
      <c r="B207" s="1">
        <f t="shared" ca="1" si="40"/>
        <v>46024</v>
      </c>
      <c r="C207" s="1">
        <f t="shared" ca="1" si="41"/>
        <v>46028</v>
      </c>
      <c r="D207" s="1">
        <f t="shared" ca="1" si="42"/>
        <v>46027</v>
      </c>
      <c r="E207" t="str">
        <f t="shared" ca="1" si="43"/>
        <v>IKEA</v>
      </c>
      <c r="F207" t="str">
        <f t="shared" ca="1" si="44"/>
        <v>Italy</v>
      </c>
      <c r="G207" t="str">
        <f t="shared" ca="1" si="45"/>
        <v>Rome</v>
      </c>
      <c r="H207" t="str">
        <f t="shared" ca="1" si="46"/>
        <v>Air</v>
      </c>
      <c r="I207" t="str">
        <f t="shared" ca="1" si="47"/>
        <v>FedEx</v>
      </c>
      <c r="J207" t="s">
        <v>316</v>
      </c>
      <c r="K207">
        <f t="shared" ca="1" si="48"/>
        <v>4942</v>
      </c>
      <c r="L207">
        <f t="shared" ca="1" si="49"/>
        <v>3162.88</v>
      </c>
      <c r="M207">
        <f t="shared" ca="1" si="50"/>
        <v>530</v>
      </c>
      <c r="N207">
        <f t="shared" ca="1" si="51"/>
        <v>1476</v>
      </c>
      <c r="O207">
        <f ca="1">Table2[[#This Row],[Delivery Date]]-Table2[[#This Row],[Order date]]</f>
        <v>3</v>
      </c>
      <c r="P207">
        <f ca="1">MAX(0,Table2[[#This Row],[Delivery Date]]-Table2[[#This Row],[Planned Delivery Date]])</f>
        <v>0</v>
      </c>
      <c r="Q207" t="str">
        <f ca="1">IF(Table2[[#This Row],[Delivery Date]]&lt;=Table2[[#This Row],[Planned Delivery Date]],"On Time","Delayed")</f>
        <v>On Time</v>
      </c>
      <c r="R207">
        <f ca="1">Table2[[#This Row],[Revenue]]-Table2[[#This Row],[Transport Cost]]</f>
        <v>1779.12</v>
      </c>
      <c r="S207" s="4">
        <f t="shared" ca="1" si="39"/>
        <v>0.36</v>
      </c>
    </row>
    <row r="208" spans="1:19" x14ac:dyDescent="0.2">
      <c r="A208" t="s">
        <v>222</v>
      </c>
      <c r="B208" s="1">
        <f t="shared" ca="1" si="40"/>
        <v>46026</v>
      </c>
      <c r="C208" s="1">
        <f t="shared" ca="1" si="41"/>
        <v>46034</v>
      </c>
      <c r="D208" s="1">
        <f t="shared" ca="1" si="42"/>
        <v>46035</v>
      </c>
      <c r="E208" t="str">
        <f t="shared" ca="1" si="43"/>
        <v>H&amp;M</v>
      </c>
      <c r="F208" t="str">
        <f t="shared" ca="1" si="44"/>
        <v>Spain</v>
      </c>
      <c r="G208" t="str">
        <f t="shared" ca="1" si="45"/>
        <v>Barcelona</v>
      </c>
      <c r="H208" t="str">
        <f t="shared" ca="1" si="46"/>
        <v>Sea</v>
      </c>
      <c r="I208" t="str">
        <f t="shared" ca="1" si="47"/>
        <v>Maersk</v>
      </c>
      <c r="J208" t="s">
        <v>316</v>
      </c>
      <c r="K208">
        <f t="shared" ca="1" si="48"/>
        <v>2961</v>
      </c>
      <c r="L208">
        <f t="shared" ca="1" si="49"/>
        <v>2161.5300000000002</v>
      </c>
      <c r="M208">
        <f t="shared" ca="1" si="50"/>
        <v>5827</v>
      </c>
      <c r="N208">
        <f t="shared" ca="1" si="51"/>
        <v>2157</v>
      </c>
      <c r="O208">
        <f ca="1">Table2[[#This Row],[Delivery Date]]-Table2[[#This Row],[Order date]]</f>
        <v>9</v>
      </c>
      <c r="P208">
        <f ca="1">MAX(0,Table2[[#This Row],[Delivery Date]]-Table2[[#This Row],[Planned Delivery Date]])</f>
        <v>1</v>
      </c>
      <c r="Q208" t="str">
        <f ca="1">IF(Table2[[#This Row],[Delivery Date]]&lt;=Table2[[#This Row],[Planned Delivery Date]],"On Time","Delayed")</f>
        <v>Delayed</v>
      </c>
      <c r="R208">
        <f ca="1">Table2[[#This Row],[Revenue]]-Table2[[#This Row],[Transport Cost]]</f>
        <v>799.4699999999998</v>
      </c>
      <c r="S208" s="4">
        <f t="shared" ca="1" si="39"/>
        <v>0.26999999999999991</v>
      </c>
    </row>
    <row r="209" spans="1:19" x14ac:dyDescent="0.2">
      <c r="A209" t="s">
        <v>223</v>
      </c>
      <c r="B209" s="1">
        <f t="shared" ca="1" si="40"/>
        <v>46145</v>
      </c>
      <c r="C209" s="1">
        <f t="shared" ca="1" si="41"/>
        <v>46147</v>
      </c>
      <c r="D209" s="1">
        <f t="shared" ca="1" si="42"/>
        <v>46146</v>
      </c>
      <c r="E209" t="str">
        <f t="shared" ca="1" si="43"/>
        <v>Bosch</v>
      </c>
      <c r="F209" t="str">
        <f t="shared" ca="1" si="44"/>
        <v>Poland</v>
      </c>
      <c r="G209" t="str">
        <f t="shared" ca="1" si="45"/>
        <v>Warsaw</v>
      </c>
      <c r="H209" t="str">
        <f t="shared" ca="1" si="46"/>
        <v>Sea</v>
      </c>
      <c r="I209" t="str">
        <f t="shared" ca="1" si="47"/>
        <v>Kuehne+Nagel</v>
      </c>
      <c r="J209" t="s">
        <v>316</v>
      </c>
      <c r="K209">
        <f t="shared" ca="1" si="48"/>
        <v>2275</v>
      </c>
      <c r="L209">
        <f t="shared" ca="1" si="49"/>
        <v>1820</v>
      </c>
      <c r="M209">
        <f t="shared" ca="1" si="50"/>
        <v>9692</v>
      </c>
      <c r="N209">
        <f t="shared" ca="1" si="51"/>
        <v>338</v>
      </c>
      <c r="O209">
        <f ca="1">Table2[[#This Row],[Delivery Date]]-Table2[[#This Row],[Order date]]</f>
        <v>1</v>
      </c>
      <c r="P209">
        <f ca="1">MAX(0,Table2[[#This Row],[Delivery Date]]-Table2[[#This Row],[Planned Delivery Date]])</f>
        <v>0</v>
      </c>
      <c r="Q209" t="str">
        <f ca="1">IF(Table2[[#This Row],[Delivery Date]]&lt;=Table2[[#This Row],[Planned Delivery Date]],"On Time","Delayed")</f>
        <v>On Time</v>
      </c>
      <c r="R209">
        <f ca="1">Table2[[#This Row],[Revenue]]-Table2[[#This Row],[Transport Cost]]</f>
        <v>455</v>
      </c>
      <c r="S209" s="4">
        <f t="shared" ca="1" si="39"/>
        <v>0.2</v>
      </c>
    </row>
    <row r="210" spans="1:19" x14ac:dyDescent="0.2">
      <c r="A210" t="s">
        <v>224</v>
      </c>
      <c r="B210" s="1">
        <f t="shared" ca="1" si="40"/>
        <v>46058</v>
      </c>
      <c r="C210" s="1">
        <f t="shared" ca="1" si="41"/>
        <v>46061</v>
      </c>
      <c r="D210" s="1">
        <f t="shared" ca="1" si="42"/>
        <v>46060</v>
      </c>
      <c r="E210" t="str">
        <f t="shared" ca="1" si="43"/>
        <v>Philips</v>
      </c>
      <c r="F210" t="str">
        <f t="shared" ca="1" si="44"/>
        <v>France</v>
      </c>
      <c r="G210" t="str">
        <f t="shared" ca="1" si="45"/>
        <v>Paris</v>
      </c>
      <c r="H210" t="str">
        <f t="shared" ca="1" si="46"/>
        <v>Sea</v>
      </c>
      <c r="I210" t="str">
        <f t="shared" ca="1" si="47"/>
        <v>Maersk</v>
      </c>
      <c r="J210" t="s">
        <v>316</v>
      </c>
      <c r="K210">
        <f t="shared" ca="1" si="48"/>
        <v>4448</v>
      </c>
      <c r="L210">
        <f t="shared" ca="1" si="49"/>
        <v>2579.84</v>
      </c>
      <c r="M210">
        <f t="shared" ca="1" si="50"/>
        <v>14098</v>
      </c>
      <c r="N210">
        <f t="shared" ca="1" si="51"/>
        <v>1348</v>
      </c>
      <c r="O210">
        <f ca="1">Table2[[#This Row],[Delivery Date]]-Table2[[#This Row],[Order date]]</f>
        <v>2</v>
      </c>
      <c r="P210">
        <f ca="1">MAX(0,Table2[[#This Row],[Delivery Date]]-Table2[[#This Row],[Planned Delivery Date]])</f>
        <v>0</v>
      </c>
      <c r="Q210" t="str">
        <f ca="1">IF(Table2[[#This Row],[Delivery Date]]&lt;=Table2[[#This Row],[Planned Delivery Date]],"On Time","Delayed")</f>
        <v>On Time</v>
      </c>
      <c r="R210">
        <f ca="1">Table2[[#This Row],[Revenue]]-Table2[[#This Row],[Transport Cost]]</f>
        <v>1868.1599999999999</v>
      </c>
      <c r="S210" s="4">
        <f t="shared" ca="1" si="39"/>
        <v>0.42</v>
      </c>
    </row>
    <row r="211" spans="1:19" x14ac:dyDescent="0.2">
      <c r="A211" t="s">
        <v>225</v>
      </c>
      <c r="B211" s="1">
        <f t="shared" ca="1" si="40"/>
        <v>46091</v>
      </c>
      <c r="C211" s="1">
        <f t="shared" ca="1" si="41"/>
        <v>46097</v>
      </c>
      <c r="D211" s="1">
        <f t="shared" ca="1" si="42"/>
        <v>46096</v>
      </c>
      <c r="E211" t="str">
        <f t="shared" ca="1" si="43"/>
        <v>Zara</v>
      </c>
      <c r="F211" t="str">
        <f t="shared" ca="1" si="44"/>
        <v>Italy</v>
      </c>
      <c r="G211" t="str">
        <f t="shared" ca="1" si="45"/>
        <v>Milan</v>
      </c>
      <c r="H211" t="str">
        <f t="shared" ca="1" si="46"/>
        <v>Sea</v>
      </c>
      <c r="I211" t="str">
        <f t="shared" ca="1" si="47"/>
        <v>Kuehne+Nagel</v>
      </c>
      <c r="J211" t="s">
        <v>316</v>
      </c>
      <c r="K211">
        <f t="shared" ca="1" si="48"/>
        <v>3530</v>
      </c>
      <c r="L211">
        <f t="shared" ca="1" si="49"/>
        <v>2647.5</v>
      </c>
      <c r="M211">
        <f t="shared" ca="1" si="50"/>
        <v>6313</v>
      </c>
      <c r="N211">
        <f t="shared" ca="1" si="51"/>
        <v>1254</v>
      </c>
      <c r="O211">
        <f ca="1">Table2[[#This Row],[Delivery Date]]-Table2[[#This Row],[Order date]]</f>
        <v>5</v>
      </c>
      <c r="P211">
        <f ca="1">MAX(0,Table2[[#This Row],[Delivery Date]]-Table2[[#This Row],[Planned Delivery Date]])</f>
        <v>0</v>
      </c>
      <c r="Q211" t="str">
        <f ca="1">IF(Table2[[#This Row],[Delivery Date]]&lt;=Table2[[#This Row],[Planned Delivery Date]],"On Time","Delayed")</f>
        <v>On Time</v>
      </c>
      <c r="R211">
        <f ca="1">Table2[[#This Row],[Revenue]]-Table2[[#This Row],[Transport Cost]]</f>
        <v>882.5</v>
      </c>
      <c r="S211" s="4">
        <f t="shared" ca="1" si="39"/>
        <v>0.25</v>
      </c>
    </row>
    <row r="212" spans="1:19" x14ac:dyDescent="0.2">
      <c r="A212" t="s">
        <v>226</v>
      </c>
      <c r="B212" s="1">
        <f t="shared" ca="1" si="40"/>
        <v>46113</v>
      </c>
      <c r="C212" s="1">
        <f t="shared" ca="1" si="41"/>
        <v>46119</v>
      </c>
      <c r="D212" s="1">
        <f t="shared" ca="1" si="42"/>
        <v>46118</v>
      </c>
      <c r="E212" t="str">
        <f t="shared" ca="1" si="43"/>
        <v>Decathlon</v>
      </c>
      <c r="F212" t="str">
        <f t="shared" ca="1" si="44"/>
        <v>Czech Republic</v>
      </c>
      <c r="G212" t="str">
        <f t="shared" ca="1" si="45"/>
        <v>Prague</v>
      </c>
      <c r="H212" t="str">
        <f t="shared" ca="1" si="46"/>
        <v>Road</v>
      </c>
      <c r="I212" t="str">
        <f t="shared" ca="1" si="47"/>
        <v>DHL</v>
      </c>
      <c r="J212" t="s">
        <v>316</v>
      </c>
      <c r="K212">
        <f t="shared" ca="1" si="48"/>
        <v>1908</v>
      </c>
      <c r="L212">
        <f t="shared" ca="1" si="49"/>
        <v>1507.32</v>
      </c>
      <c r="M212">
        <f t="shared" ca="1" si="50"/>
        <v>1171</v>
      </c>
      <c r="N212">
        <f t="shared" ca="1" si="51"/>
        <v>888</v>
      </c>
      <c r="O212">
        <f ca="1">Table2[[#This Row],[Delivery Date]]-Table2[[#This Row],[Order date]]</f>
        <v>5</v>
      </c>
      <c r="P212">
        <f ca="1">MAX(0,Table2[[#This Row],[Delivery Date]]-Table2[[#This Row],[Planned Delivery Date]])</f>
        <v>0</v>
      </c>
      <c r="Q212" t="str">
        <f ca="1">IF(Table2[[#This Row],[Delivery Date]]&lt;=Table2[[#This Row],[Planned Delivery Date]],"On Time","Delayed")</f>
        <v>On Time</v>
      </c>
      <c r="R212">
        <f ca="1">Table2[[#This Row],[Revenue]]-Table2[[#This Row],[Transport Cost]]</f>
        <v>400.68000000000006</v>
      </c>
      <c r="S212" s="4">
        <f t="shared" ca="1" si="39"/>
        <v>0.21000000000000002</v>
      </c>
    </row>
    <row r="213" spans="1:19" x14ac:dyDescent="0.2">
      <c r="A213" t="s">
        <v>227</v>
      </c>
      <c r="B213" s="1">
        <f t="shared" ca="1" si="40"/>
        <v>46201</v>
      </c>
      <c r="C213" s="1">
        <f t="shared" ca="1" si="41"/>
        <v>46211</v>
      </c>
      <c r="D213" s="1">
        <f t="shared" ca="1" si="42"/>
        <v>46215</v>
      </c>
      <c r="E213" t="str">
        <f t="shared" ca="1" si="43"/>
        <v>Samsung</v>
      </c>
      <c r="F213" t="str">
        <f t="shared" ca="1" si="44"/>
        <v>Spain</v>
      </c>
      <c r="G213" t="str">
        <f t="shared" ca="1" si="45"/>
        <v>Madrid</v>
      </c>
      <c r="H213" t="str">
        <f t="shared" ca="1" si="46"/>
        <v>Rail</v>
      </c>
      <c r="I213" t="str">
        <f t="shared" ca="1" si="47"/>
        <v>Kuehne+Nagel</v>
      </c>
      <c r="J213" t="s">
        <v>316</v>
      </c>
      <c r="K213">
        <f t="shared" ca="1" si="48"/>
        <v>1646</v>
      </c>
      <c r="L213">
        <f t="shared" ca="1" si="49"/>
        <v>1119.28</v>
      </c>
      <c r="M213">
        <f t="shared" ca="1" si="50"/>
        <v>8262</v>
      </c>
      <c r="N213">
        <f t="shared" ca="1" si="51"/>
        <v>2174</v>
      </c>
      <c r="O213">
        <f ca="1">Table2[[#This Row],[Delivery Date]]-Table2[[#This Row],[Order date]]</f>
        <v>14</v>
      </c>
      <c r="P213">
        <f ca="1">MAX(0,Table2[[#This Row],[Delivery Date]]-Table2[[#This Row],[Planned Delivery Date]])</f>
        <v>4</v>
      </c>
      <c r="Q213" t="str">
        <f ca="1">IF(Table2[[#This Row],[Delivery Date]]&lt;=Table2[[#This Row],[Planned Delivery Date]],"On Time","Delayed")</f>
        <v>Delayed</v>
      </c>
      <c r="R213">
        <f ca="1">Table2[[#This Row],[Revenue]]-Table2[[#This Row],[Transport Cost]]</f>
        <v>526.72</v>
      </c>
      <c r="S213" s="4">
        <f t="shared" ca="1" si="39"/>
        <v>0.32</v>
      </c>
    </row>
    <row r="214" spans="1:19" x14ac:dyDescent="0.2">
      <c r="A214" t="s">
        <v>228</v>
      </c>
      <c r="B214" s="1">
        <f t="shared" ca="1" si="40"/>
        <v>46133</v>
      </c>
      <c r="C214" s="1">
        <f t="shared" ca="1" si="41"/>
        <v>46138</v>
      </c>
      <c r="D214" s="1">
        <f t="shared" ca="1" si="42"/>
        <v>46141</v>
      </c>
      <c r="E214" t="str">
        <f t="shared" ca="1" si="43"/>
        <v>Bosch</v>
      </c>
      <c r="F214" t="str">
        <f t="shared" ca="1" si="44"/>
        <v>Czech Republic</v>
      </c>
      <c r="G214" t="str">
        <f t="shared" ca="1" si="45"/>
        <v>Prague</v>
      </c>
      <c r="H214" t="str">
        <f t="shared" ca="1" si="46"/>
        <v>Air</v>
      </c>
      <c r="I214" t="str">
        <f t="shared" ca="1" si="47"/>
        <v>DHL</v>
      </c>
      <c r="J214" t="s">
        <v>316</v>
      </c>
      <c r="K214">
        <f t="shared" ca="1" si="48"/>
        <v>3844</v>
      </c>
      <c r="L214">
        <f t="shared" ca="1" si="49"/>
        <v>3075.2</v>
      </c>
      <c r="M214">
        <f t="shared" ca="1" si="50"/>
        <v>470</v>
      </c>
      <c r="N214">
        <f t="shared" ca="1" si="51"/>
        <v>548</v>
      </c>
      <c r="O214">
        <f ca="1">Table2[[#This Row],[Delivery Date]]-Table2[[#This Row],[Order date]]</f>
        <v>8</v>
      </c>
      <c r="P214">
        <f ca="1">MAX(0,Table2[[#This Row],[Delivery Date]]-Table2[[#This Row],[Planned Delivery Date]])</f>
        <v>3</v>
      </c>
      <c r="Q214" t="str">
        <f ca="1">IF(Table2[[#This Row],[Delivery Date]]&lt;=Table2[[#This Row],[Planned Delivery Date]],"On Time","Delayed")</f>
        <v>Delayed</v>
      </c>
      <c r="R214">
        <f ca="1">Table2[[#This Row],[Revenue]]-Table2[[#This Row],[Transport Cost]]</f>
        <v>768.80000000000018</v>
      </c>
      <c r="S214" s="4">
        <f t="shared" ca="1" si="39"/>
        <v>0.20000000000000004</v>
      </c>
    </row>
    <row r="215" spans="1:19" x14ac:dyDescent="0.2">
      <c r="A215" t="s">
        <v>229</v>
      </c>
      <c r="B215" s="1">
        <f t="shared" ca="1" si="40"/>
        <v>46096</v>
      </c>
      <c r="C215" s="1">
        <f t="shared" ca="1" si="41"/>
        <v>46098</v>
      </c>
      <c r="D215" s="1">
        <f t="shared" ca="1" si="42"/>
        <v>46098</v>
      </c>
      <c r="E215" t="str">
        <f t="shared" ca="1" si="43"/>
        <v>IKEA</v>
      </c>
      <c r="F215" t="str">
        <f t="shared" ca="1" si="44"/>
        <v>Czech Republic</v>
      </c>
      <c r="G215" t="str">
        <f t="shared" ca="1" si="45"/>
        <v>Prague</v>
      </c>
      <c r="H215" t="str">
        <f t="shared" ca="1" si="46"/>
        <v>Road</v>
      </c>
      <c r="I215" t="str">
        <f t="shared" ca="1" si="47"/>
        <v>UPS</v>
      </c>
      <c r="J215" t="s">
        <v>316</v>
      </c>
      <c r="K215">
        <f t="shared" ca="1" si="48"/>
        <v>1194</v>
      </c>
      <c r="L215">
        <f t="shared" ca="1" si="49"/>
        <v>799.98</v>
      </c>
      <c r="M215">
        <f t="shared" ca="1" si="50"/>
        <v>1497</v>
      </c>
      <c r="N215">
        <f t="shared" ca="1" si="51"/>
        <v>640</v>
      </c>
      <c r="O215">
        <f ca="1">Table2[[#This Row],[Delivery Date]]-Table2[[#This Row],[Order date]]</f>
        <v>2</v>
      </c>
      <c r="P215">
        <f ca="1">MAX(0,Table2[[#This Row],[Delivery Date]]-Table2[[#This Row],[Planned Delivery Date]])</f>
        <v>0</v>
      </c>
      <c r="Q215" t="str">
        <f ca="1">IF(Table2[[#This Row],[Delivery Date]]&lt;=Table2[[#This Row],[Planned Delivery Date]],"On Time","Delayed")</f>
        <v>On Time</v>
      </c>
      <c r="R215">
        <f ca="1">Table2[[#This Row],[Revenue]]-Table2[[#This Row],[Transport Cost]]</f>
        <v>394.02</v>
      </c>
      <c r="S215" s="4">
        <f t="shared" ca="1" si="39"/>
        <v>0.32999999999999996</v>
      </c>
    </row>
    <row r="216" spans="1:19" x14ac:dyDescent="0.2">
      <c r="A216" t="s">
        <v>230</v>
      </c>
      <c r="B216" s="1">
        <f t="shared" ca="1" si="40"/>
        <v>46039</v>
      </c>
      <c r="C216" s="1">
        <f t="shared" ca="1" si="41"/>
        <v>46046</v>
      </c>
      <c r="D216" s="1">
        <f t="shared" ca="1" si="42"/>
        <v>46045</v>
      </c>
      <c r="E216" t="str">
        <f t="shared" ca="1" si="43"/>
        <v>IKEA</v>
      </c>
      <c r="F216" t="str">
        <f t="shared" ca="1" si="44"/>
        <v>Czech Republic</v>
      </c>
      <c r="G216" t="str">
        <f t="shared" ca="1" si="45"/>
        <v>Prague</v>
      </c>
      <c r="H216" t="str">
        <f t="shared" ca="1" si="46"/>
        <v>Road</v>
      </c>
      <c r="I216" t="str">
        <f t="shared" ca="1" si="47"/>
        <v>FedEx</v>
      </c>
      <c r="J216" t="s">
        <v>316</v>
      </c>
      <c r="K216">
        <f t="shared" ca="1" si="48"/>
        <v>1668</v>
      </c>
      <c r="L216">
        <f t="shared" ca="1" si="49"/>
        <v>984.12</v>
      </c>
      <c r="M216">
        <f t="shared" ca="1" si="50"/>
        <v>4549</v>
      </c>
      <c r="N216">
        <f t="shared" ca="1" si="51"/>
        <v>524</v>
      </c>
      <c r="O216">
        <f ca="1">Table2[[#This Row],[Delivery Date]]-Table2[[#This Row],[Order date]]</f>
        <v>6</v>
      </c>
      <c r="P216">
        <f ca="1">MAX(0,Table2[[#This Row],[Delivery Date]]-Table2[[#This Row],[Planned Delivery Date]])</f>
        <v>0</v>
      </c>
      <c r="Q216" t="str">
        <f ca="1">IF(Table2[[#This Row],[Delivery Date]]&lt;=Table2[[#This Row],[Planned Delivery Date]],"On Time","Delayed")</f>
        <v>On Time</v>
      </c>
      <c r="R216">
        <f ca="1">Table2[[#This Row],[Revenue]]-Table2[[#This Row],[Transport Cost]]</f>
        <v>683.88</v>
      </c>
      <c r="S216" s="4">
        <f t="shared" ca="1" si="39"/>
        <v>0.41</v>
      </c>
    </row>
    <row r="217" spans="1:19" x14ac:dyDescent="0.2">
      <c r="A217" t="s">
        <v>231</v>
      </c>
      <c r="B217" s="1">
        <f t="shared" ca="1" si="40"/>
        <v>46104</v>
      </c>
      <c r="C217" s="1">
        <f t="shared" ca="1" si="41"/>
        <v>46113</v>
      </c>
      <c r="D217" s="1">
        <f t="shared" ca="1" si="42"/>
        <v>46113</v>
      </c>
      <c r="E217" t="str">
        <f t="shared" ca="1" si="43"/>
        <v>H&amp;M</v>
      </c>
      <c r="F217" t="str">
        <f t="shared" ca="1" si="44"/>
        <v>Italy</v>
      </c>
      <c r="G217" t="str">
        <f t="shared" ca="1" si="45"/>
        <v>Milan</v>
      </c>
      <c r="H217" t="str">
        <f t="shared" ca="1" si="46"/>
        <v>Sea</v>
      </c>
      <c r="I217" t="str">
        <f t="shared" ca="1" si="47"/>
        <v>Maersk</v>
      </c>
      <c r="J217" t="s">
        <v>316</v>
      </c>
      <c r="K217">
        <f t="shared" ca="1" si="48"/>
        <v>3841</v>
      </c>
      <c r="L217">
        <f t="shared" ca="1" si="49"/>
        <v>2995.98</v>
      </c>
      <c r="M217">
        <f t="shared" ca="1" si="50"/>
        <v>5831</v>
      </c>
      <c r="N217">
        <f t="shared" ca="1" si="51"/>
        <v>1414</v>
      </c>
      <c r="O217">
        <f ca="1">Table2[[#This Row],[Delivery Date]]-Table2[[#This Row],[Order date]]</f>
        <v>9</v>
      </c>
      <c r="P217">
        <f ca="1">MAX(0,Table2[[#This Row],[Delivery Date]]-Table2[[#This Row],[Planned Delivery Date]])</f>
        <v>0</v>
      </c>
      <c r="Q217" t="str">
        <f ca="1">IF(Table2[[#This Row],[Delivery Date]]&lt;=Table2[[#This Row],[Planned Delivery Date]],"On Time","Delayed")</f>
        <v>On Time</v>
      </c>
      <c r="R217">
        <f ca="1">Table2[[#This Row],[Revenue]]-Table2[[#This Row],[Transport Cost]]</f>
        <v>845.02</v>
      </c>
      <c r="S217" s="4">
        <f t="shared" ca="1" si="39"/>
        <v>0.22</v>
      </c>
    </row>
    <row r="218" spans="1:19" x14ac:dyDescent="0.2">
      <c r="A218" t="s">
        <v>232</v>
      </c>
      <c r="B218" s="1">
        <f t="shared" ca="1" si="40"/>
        <v>46052</v>
      </c>
      <c r="C218" s="1">
        <f t="shared" ca="1" si="41"/>
        <v>46057</v>
      </c>
      <c r="D218" s="1">
        <f t="shared" ca="1" si="42"/>
        <v>46062</v>
      </c>
      <c r="E218" t="str">
        <f t="shared" ca="1" si="43"/>
        <v>IKEA</v>
      </c>
      <c r="F218" t="str">
        <f t="shared" ca="1" si="44"/>
        <v>Germany</v>
      </c>
      <c r="G218" t="str">
        <f t="shared" ca="1" si="45"/>
        <v>Berlin</v>
      </c>
      <c r="H218" t="str">
        <f t="shared" ca="1" si="46"/>
        <v>Rail</v>
      </c>
      <c r="I218" t="str">
        <f t="shared" ca="1" si="47"/>
        <v>DB Schenker</v>
      </c>
      <c r="J218" t="s">
        <v>316</v>
      </c>
      <c r="K218">
        <f t="shared" ca="1" si="48"/>
        <v>2723</v>
      </c>
      <c r="L218">
        <f t="shared" ca="1" si="49"/>
        <v>2123.94</v>
      </c>
      <c r="M218">
        <f t="shared" ca="1" si="50"/>
        <v>6571</v>
      </c>
      <c r="N218">
        <f t="shared" ca="1" si="51"/>
        <v>641</v>
      </c>
      <c r="O218">
        <f ca="1">Table2[[#This Row],[Delivery Date]]-Table2[[#This Row],[Order date]]</f>
        <v>10</v>
      </c>
      <c r="P218">
        <f ca="1">MAX(0,Table2[[#This Row],[Delivery Date]]-Table2[[#This Row],[Planned Delivery Date]])</f>
        <v>5</v>
      </c>
      <c r="Q218" t="str">
        <f ca="1">IF(Table2[[#This Row],[Delivery Date]]&lt;=Table2[[#This Row],[Planned Delivery Date]],"On Time","Delayed")</f>
        <v>Delayed</v>
      </c>
      <c r="R218">
        <f ca="1">Table2[[#This Row],[Revenue]]-Table2[[#This Row],[Transport Cost]]</f>
        <v>599.05999999999995</v>
      </c>
      <c r="S218" s="4">
        <f t="shared" ca="1" si="39"/>
        <v>0.21999999999999997</v>
      </c>
    </row>
    <row r="219" spans="1:19" x14ac:dyDescent="0.2">
      <c r="A219" t="s">
        <v>233</v>
      </c>
      <c r="B219" s="1">
        <f t="shared" ca="1" si="40"/>
        <v>46142</v>
      </c>
      <c r="C219" s="1">
        <f t="shared" ca="1" si="41"/>
        <v>46151</v>
      </c>
      <c r="D219" s="1">
        <f t="shared" ca="1" si="42"/>
        <v>46155</v>
      </c>
      <c r="E219" t="str">
        <f t="shared" ca="1" si="43"/>
        <v>IKEA</v>
      </c>
      <c r="F219" t="str">
        <f t="shared" ca="1" si="44"/>
        <v>Poland</v>
      </c>
      <c r="G219" t="str">
        <f t="shared" ca="1" si="45"/>
        <v>Warsaw</v>
      </c>
      <c r="H219" t="str">
        <f t="shared" ca="1" si="46"/>
        <v>Road</v>
      </c>
      <c r="I219" t="str">
        <f t="shared" ca="1" si="47"/>
        <v>GLS</v>
      </c>
      <c r="J219" t="s">
        <v>316</v>
      </c>
      <c r="K219">
        <f t="shared" ca="1" si="48"/>
        <v>2393</v>
      </c>
      <c r="L219">
        <f t="shared" ca="1" si="49"/>
        <v>1818.68</v>
      </c>
      <c r="M219">
        <f t="shared" ca="1" si="50"/>
        <v>3504</v>
      </c>
      <c r="N219">
        <f t="shared" ca="1" si="51"/>
        <v>113</v>
      </c>
      <c r="O219">
        <f ca="1">Table2[[#This Row],[Delivery Date]]-Table2[[#This Row],[Order date]]</f>
        <v>13</v>
      </c>
      <c r="P219">
        <f ca="1">MAX(0,Table2[[#This Row],[Delivery Date]]-Table2[[#This Row],[Planned Delivery Date]])</f>
        <v>4</v>
      </c>
      <c r="Q219" t="str">
        <f ca="1">IF(Table2[[#This Row],[Delivery Date]]&lt;=Table2[[#This Row],[Planned Delivery Date]],"On Time","Delayed")</f>
        <v>Delayed</v>
      </c>
      <c r="R219">
        <f ca="1">Table2[[#This Row],[Revenue]]-Table2[[#This Row],[Transport Cost]]</f>
        <v>574.31999999999994</v>
      </c>
      <c r="S219" s="4">
        <f t="shared" ca="1" si="39"/>
        <v>0.23999999999999996</v>
      </c>
    </row>
    <row r="220" spans="1:19" x14ac:dyDescent="0.2">
      <c r="A220" t="s">
        <v>234</v>
      </c>
      <c r="B220" s="1">
        <f t="shared" ca="1" si="40"/>
        <v>46167</v>
      </c>
      <c r="C220" s="1">
        <f t="shared" ca="1" si="41"/>
        <v>46175</v>
      </c>
      <c r="D220" s="1">
        <f t="shared" ca="1" si="42"/>
        <v>46180</v>
      </c>
      <c r="E220" t="str">
        <f t="shared" ca="1" si="43"/>
        <v>IKEA</v>
      </c>
      <c r="F220" t="str">
        <f t="shared" ca="1" si="44"/>
        <v>Italy</v>
      </c>
      <c r="G220" t="str">
        <f t="shared" ca="1" si="45"/>
        <v>Milan</v>
      </c>
      <c r="H220" t="str">
        <f t="shared" ca="1" si="46"/>
        <v>Rail</v>
      </c>
      <c r="I220" t="str">
        <f t="shared" ca="1" si="47"/>
        <v>Kuehne+Nagel</v>
      </c>
      <c r="J220" t="s">
        <v>316</v>
      </c>
      <c r="K220">
        <f t="shared" ca="1" si="48"/>
        <v>2812</v>
      </c>
      <c r="L220">
        <f t="shared" ca="1" si="49"/>
        <v>2109</v>
      </c>
      <c r="M220">
        <f t="shared" ca="1" si="50"/>
        <v>7720</v>
      </c>
      <c r="N220">
        <f t="shared" ca="1" si="51"/>
        <v>1959</v>
      </c>
      <c r="O220">
        <f ca="1">Table2[[#This Row],[Delivery Date]]-Table2[[#This Row],[Order date]]</f>
        <v>13</v>
      </c>
      <c r="P220">
        <f ca="1">MAX(0,Table2[[#This Row],[Delivery Date]]-Table2[[#This Row],[Planned Delivery Date]])</f>
        <v>5</v>
      </c>
      <c r="Q220" t="str">
        <f ca="1">IF(Table2[[#This Row],[Delivery Date]]&lt;=Table2[[#This Row],[Planned Delivery Date]],"On Time","Delayed")</f>
        <v>Delayed</v>
      </c>
      <c r="R220">
        <f ca="1">Table2[[#This Row],[Revenue]]-Table2[[#This Row],[Transport Cost]]</f>
        <v>703</v>
      </c>
      <c r="S220" s="4">
        <f t="shared" ca="1" si="39"/>
        <v>0.25</v>
      </c>
    </row>
    <row r="221" spans="1:19" x14ac:dyDescent="0.2">
      <c r="A221" t="s">
        <v>235</v>
      </c>
      <c r="B221" s="1">
        <f t="shared" ca="1" si="40"/>
        <v>46031</v>
      </c>
      <c r="C221" s="1">
        <f t="shared" ca="1" si="41"/>
        <v>46036</v>
      </c>
      <c r="D221" s="1">
        <f t="shared" ca="1" si="42"/>
        <v>46035</v>
      </c>
      <c r="E221" t="str">
        <f t="shared" ca="1" si="43"/>
        <v>Bosch</v>
      </c>
      <c r="F221" t="str">
        <f t="shared" ca="1" si="44"/>
        <v>Czech Republic</v>
      </c>
      <c r="G221" t="str">
        <f t="shared" ca="1" si="45"/>
        <v>Prague</v>
      </c>
      <c r="H221" t="str">
        <f t="shared" ca="1" si="46"/>
        <v>Rail</v>
      </c>
      <c r="I221" t="str">
        <f t="shared" ca="1" si="47"/>
        <v>DB Schenker</v>
      </c>
      <c r="J221" t="s">
        <v>316</v>
      </c>
      <c r="K221">
        <f t="shared" ca="1" si="48"/>
        <v>2478</v>
      </c>
      <c r="L221">
        <f t="shared" ca="1" si="49"/>
        <v>2056.7399999999998</v>
      </c>
      <c r="M221">
        <f t="shared" ca="1" si="50"/>
        <v>1559</v>
      </c>
      <c r="N221">
        <f t="shared" ca="1" si="51"/>
        <v>862</v>
      </c>
      <c r="O221">
        <f ca="1">Table2[[#This Row],[Delivery Date]]-Table2[[#This Row],[Order date]]</f>
        <v>4</v>
      </c>
      <c r="P221">
        <f ca="1">MAX(0,Table2[[#This Row],[Delivery Date]]-Table2[[#This Row],[Planned Delivery Date]])</f>
        <v>0</v>
      </c>
      <c r="Q221" t="str">
        <f ca="1">IF(Table2[[#This Row],[Delivery Date]]&lt;=Table2[[#This Row],[Planned Delivery Date]],"On Time","Delayed")</f>
        <v>On Time</v>
      </c>
      <c r="R221">
        <f ca="1">Table2[[#This Row],[Revenue]]-Table2[[#This Row],[Transport Cost]]</f>
        <v>421.26000000000022</v>
      </c>
      <c r="S221" s="4">
        <f t="shared" ca="1" si="39"/>
        <v>0.1700000000000001</v>
      </c>
    </row>
    <row r="222" spans="1:19" x14ac:dyDescent="0.2">
      <c r="A222" t="s">
        <v>236</v>
      </c>
      <c r="B222" s="1">
        <f t="shared" ca="1" si="40"/>
        <v>46086</v>
      </c>
      <c r="C222" s="1">
        <f t="shared" ca="1" si="41"/>
        <v>46089</v>
      </c>
      <c r="D222" s="1">
        <f t="shared" ca="1" si="42"/>
        <v>46088</v>
      </c>
      <c r="E222" t="str">
        <f t="shared" ca="1" si="43"/>
        <v>Zara</v>
      </c>
      <c r="F222" t="str">
        <f t="shared" ca="1" si="44"/>
        <v>Poland</v>
      </c>
      <c r="G222" t="str">
        <f t="shared" ca="1" si="45"/>
        <v>Warsaw</v>
      </c>
      <c r="H222" t="str">
        <f t="shared" ca="1" si="46"/>
        <v>Rail</v>
      </c>
      <c r="I222" t="str">
        <f t="shared" ca="1" si="47"/>
        <v>Kuehne+Nagel</v>
      </c>
      <c r="J222" t="s">
        <v>316</v>
      </c>
      <c r="K222">
        <f t="shared" ca="1" si="48"/>
        <v>1996</v>
      </c>
      <c r="L222">
        <f t="shared" ca="1" si="49"/>
        <v>1596.8</v>
      </c>
      <c r="M222">
        <f t="shared" ca="1" si="50"/>
        <v>2435</v>
      </c>
      <c r="N222">
        <f t="shared" ca="1" si="51"/>
        <v>369</v>
      </c>
      <c r="O222">
        <f ca="1">Table2[[#This Row],[Delivery Date]]-Table2[[#This Row],[Order date]]</f>
        <v>2</v>
      </c>
      <c r="P222">
        <f ca="1">MAX(0,Table2[[#This Row],[Delivery Date]]-Table2[[#This Row],[Planned Delivery Date]])</f>
        <v>0</v>
      </c>
      <c r="Q222" t="str">
        <f ca="1">IF(Table2[[#This Row],[Delivery Date]]&lt;=Table2[[#This Row],[Planned Delivery Date]],"On Time","Delayed")</f>
        <v>On Time</v>
      </c>
      <c r="R222">
        <f ca="1">Table2[[#This Row],[Revenue]]-Table2[[#This Row],[Transport Cost]]</f>
        <v>399.20000000000005</v>
      </c>
      <c r="S222" s="4">
        <f t="shared" ca="1" si="39"/>
        <v>0.2</v>
      </c>
    </row>
    <row r="223" spans="1:19" x14ac:dyDescent="0.2">
      <c r="A223" t="s">
        <v>237</v>
      </c>
      <c r="B223" s="1">
        <f t="shared" ca="1" si="40"/>
        <v>46079</v>
      </c>
      <c r="C223" s="1">
        <f t="shared" ca="1" si="41"/>
        <v>46089</v>
      </c>
      <c r="D223" s="1">
        <f t="shared" ca="1" si="42"/>
        <v>46088</v>
      </c>
      <c r="E223" t="str">
        <f t="shared" ca="1" si="43"/>
        <v>Philips</v>
      </c>
      <c r="F223" t="str">
        <f t="shared" ca="1" si="44"/>
        <v>Italy</v>
      </c>
      <c r="G223" t="str">
        <f t="shared" ca="1" si="45"/>
        <v>Milan</v>
      </c>
      <c r="H223" t="str">
        <f t="shared" ca="1" si="46"/>
        <v>Sea</v>
      </c>
      <c r="I223" t="str">
        <f t="shared" ca="1" si="47"/>
        <v>Maersk</v>
      </c>
      <c r="J223" t="s">
        <v>316</v>
      </c>
      <c r="K223">
        <f t="shared" ca="1" si="48"/>
        <v>4792</v>
      </c>
      <c r="L223">
        <f t="shared" ca="1" si="49"/>
        <v>3546.08</v>
      </c>
      <c r="M223">
        <f t="shared" ca="1" si="50"/>
        <v>3388</v>
      </c>
      <c r="N223">
        <f t="shared" ca="1" si="51"/>
        <v>1986</v>
      </c>
      <c r="O223">
        <f ca="1">Table2[[#This Row],[Delivery Date]]-Table2[[#This Row],[Order date]]</f>
        <v>9</v>
      </c>
      <c r="P223">
        <f ca="1">MAX(0,Table2[[#This Row],[Delivery Date]]-Table2[[#This Row],[Planned Delivery Date]])</f>
        <v>0</v>
      </c>
      <c r="Q223" t="str">
        <f ca="1">IF(Table2[[#This Row],[Delivery Date]]&lt;=Table2[[#This Row],[Planned Delivery Date]],"On Time","Delayed")</f>
        <v>On Time</v>
      </c>
      <c r="R223">
        <f ca="1">Table2[[#This Row],[Revenue]]-Table2[[#This Row],[Transport Cost]]</f>
        <v>1245.92</v>
      </c>
      <c r="S223" s="4">
        <f t="shared" ca="1" si="39"/>
        <v>0.26</v>
      </c>
    </row>
    <row r="224" spans="1:19" x14ac:dyDescent="0.2">
      <c r="A224" t="s">
        <v>238</v>
      </c>
      <c r="B224" s="1">
        <f t="shared" ca="1" si="40"/>
        <v>46093</v>
      </c>
      <c r="C224" s="1">
        <f t="shared" ca="1" si="41"/>
        <v>46096</v>
      </c>
      <c r="D224" s="1">
        <f t="shared" ca="1" si="42"/>
        <v>46095</v>
      </c>
      <c r="E224" t="str">
        <f t="shared" ca="1" si="43"/>
        <v>H&amp;M</v>
      </c>
      <c r="F224" t="str">
        <f t="shared" ca="1" si="44"/>
        <v>France</v>
      </c>
      <c r="G224" t="str">
        <f t="shared" ca="1" si="45"/>
        <v>Lyon</v>
      </c>
      <c r="H224" t="str">
        <f t="shared" ca="1" si="46"/>
        <v>Rail</v>
      </c>
      <c r="I224" t="str">
        <f t="shared" ca="1" si="47"/>
        <v>Kuehne+Nagel</v>
      </c>
      <c r="J224" t="s">
        <v>316</v>
      </c>
      <c r="K224">
        <f t="shared" ca="1" si="48"/>
        <v>1327</v>
      </c>
      <c r="L224">
        <f t="shared" ca="1" si="49"/>
        <v>1048.33</v>
      </c>
      <c r="M224">
        <f t="shared" ca="1" si="50"/>
        <v>9130</v>
      </c>
      <c r="N224">
        <f t="shared" ca="1" si="51"/>
        <v>1421</v>
      </c>
      <c r="O224">
        <f ca="1">Table2[[#This Row],[Delivery Date]]-Table2[[#This Row],[Order date]]</f>
        <v>2</v>
      </c>
      <c r="P224">
        <f ca="1">MAX(0,Table2[[#This Row],[Delivery Date]]-Table2[[#This Row],[Planned Delivery Date]])</f>
        <v>0</v>
      </c>
      <c r="Q224" t="str">
        <f ca="1">IF(Table2[[#This Row],[Delivery Date]]&lt;=Table2[[#This Row],[Planned Delivery Date]],"On Time","Delayed")</f>
        <v>On Time</v>
      </c>
      <c r="R224">
        <f ca="1">Table2[[#This Row],[Revenue]]-Table2[[#This Row],[Transport Cost]]</f>
        <v>278.67000000000007</v>
      </c>
      <c r="S224" s="4">
        <f t="shared" ca="1" si="39"/>
        <v>0.21000000000000005</v>
      </c>
    </row>
    <row r="225" spans="1:19" x14ac:dyDescent="0.2">
      <c r="A225" t="s">
        <v>239</v>
      </c>
      <c r="B225" s="1">
        <f t="shared" ca="1" si="40"/>
        <v>46201</v>
      </c>
      <c r="C225" s="1">
        <f t="shared" ca="1" si="41"/>
        <v>46208</v>
      </c>
      <c r="D225" s="1">
        <f t="shared" ca="1" si="42"/>
        <v>46208</v>
      </c>
      <c r="E225" t="str">
        <f t="shared" ca="1" si="43"/>
        <v>Decathlon</v>
      </c>
      <c r="F225" t="str">
        <f t="shared" ca="1" si="44"/>
        <v>Czech Republic</v>
      </c>
      <c r="G225" t="str">
        <f t="shared" ca="1" si="45"/>
        <v>Prague</v>
      </c>
      <c r="H225" t="str">
        <f t="shared" ca="1" si="46"/>
        <v>Sea</v>
      </c>
      <c r="I225" t="str">
        <f t="shared" ca="1" si="47"/>
        <v>Maersk</v>
      </c>
      <c r="J225" t="s">
        <v>316</v>
      </c>
      <c r="K225">
        <f t="shared" ca="1" si="48"/>
        <v>2122</v>
      </c>
      <c r="L225">
        <f t="shared" ca="1" si="49"/>
        <v>1188.32</v>
      </c>
      <c r="M225">
        <f t="shared" ca="1" si="50"/>
        <v>12471</v>
      </c>
      <c r="N225">
        <f t="shared" ca="1" si="51"/>
        <v>640</v>
      </c>
      <c r="O225">
        <f ca="1">Table2[[#This Row],[Delivery Date]]-Table2[[#This Row],[Order date]]</f>
        <v>7</v>
      </c>
      <c r="P225">
        <f ca="1">MAX(0,Table2[[#This Row],[Delivery Date]]-Table2[[#This Row],[Planned Delivery Date]])</f>
        <v>0</v>
      </c>
      <c r="Q225" t="str">
        <f ca="1">IF(Table2[[#This Row],[Delivery Date]]&lt;=Table2[[#This Row],[Planned Delivery Date]],"On Time","Delayed")</f>
        <v>On Time</v>
      </c>
      <c r="R225">
        <f ca="1">Table2[[#This Row],[Revenue]]-Table2[[#This Row],[Transport Cost]]</f>
        <v>933.68000000000006</v>
      </c>
      <c r="S225" s="4">
        <f t="shared" ca="1" si="39"/>
        <v>0.44000000000000006</v>
      </c>
    </row>
    <row r="226" spans="1:19" x14ac:dyDescent="0.2">
      <c r="A226" t="s">
        <v>240</v>
      </c>
      <c r="B226" s="1">
        <f t="shared" ca="1" si="40"/>
        <v>46188</v>
      </c>
      <c r="C226" s="1">
        <f t="shared" ca="1" si="41"/>
        <v>46190</v>
      </c>
      <c r="D226" s="1">
        <f t="shared" ca="1" si="42"/>
        <v>46193</v>
      </c>
      <c r="E226" t="str">
        <f t="shared" ca="1" si="43"/>
        <v>Allegro</v>
      </c>
      <c r="F226" t="str">
        <f t="shared" ca="1" si="44"/>
        <v>France</v>
      </c>
      <c r="G226" t="str">
        <f t="shared" ca="1" si="45"/>
        <v>Lyon</v>
      </c>
      <c r="H226" t="str">
        <f t="shared" ca="1" si="46"/>
        <v>Road</v>
      </c>
      <c r="I226" t="str">
        <f t="shared" ca="1" si="47"/>
        <v>DB Schenker</v>
      </c>
      <c r="J226" t="s">
        <v>316</v>
      </c>
      <c r="K226">
        <f t="shared" ca="1" si="48"/>
        <v>1082</v>
      </c>
      <c r="L226">
        <f t="shared" ca="1" si="49"/>
        <v>638.38</v>
      </c>
      <c r="M226">
        <f t="shared" ca="1" si="50"/>
        <v>3863</v>
      </c>
      <c r="N226">
        <f t="shared" ca="1" si="51"/>
        <v>1337</v>
      </c>
      <c r="O226">
        <f ca="1">Table2[[#This Row],[Delivery Date]]-Table2[[#This Row],[Order date]]</f>
        <v>5</v>
      </c>
      <c r="P226">
        <f ca="1">MAX(0,Table2[[#This Row],[Delivery Date]]-Table2[[#This Row],[Planned Delivery Date]])</f>
        <v>3</v>
      </c>
      <c r="Q226" t="str">
        <f ca="1">IF(Table2[[#This Row],[Delivery Date]]&lt;=Table2[[#This Row],[Planned Delivery Date]],"On Time","Delayed")</f>
        <v>Delayed</v>
      </c>
      <c r="R226">
        <f ca="1">Table2[[#This Row],[Revenue]]-Table2[[#This Row],[Transport Cost]]</f>
        <v>443.62</v>
      </c>
      <c r="S226" s="4">
        <f t="shared" ca="1" si="39"/>
        <v>0.41000000000000003</v>
      </c>
    </row>
    <row r="227" spans="1:19" x14ac:dyDescent="0.2">
      <c r="A227" t="s">
        <v>241</v>
      </c>
      <c r="B227" s="1">
        <f t="shared" ca="1" si="40"/>
        <v>46111</v>
      </c>
      <c r="C227" s="1">
        <f t="shared" ca="1" si="41"/>
        <v>46114</v>
      </c>
      <c r="D227" s="1">
        <f t="shared" ca="1" si="42"/>
        <v>46116</v>
      </c>
      <c r="E227" t="str">
        <f t="shared" ca="1" si="43"/>
        <v>Zara</v>
      </c>
      <c r="F227" t="str">
        <f t="shared" ca="1" si="44"/>
        <v>Germany</v>
      </c>
      <c r="G227" t="str">
        <f t="shared" ca="1" si="45"/>
        <v>Munich</v>
      </c>
      <c r="H227" t="str">
        <f t="shared" ca="1" si="46"/>
        <v>Sea</v>
      </c>
      <c r="I227" t="str">
        <f t="shared" ca="1" si="47"/>
        <v>Maersk</v>
      </c>
      <c r="J227" t="s">
        <v>316</v>
      </c>
      <c r="K227">
        <f t="shared" ca="1" si="48"/>
        <v>3861</v>
      </c>
      <c r="L227">
        <f t="shared" ca="1" si="49"/>
        <v>3204.63</v>
      </c>
      <c r="M227">
        <f t="shared" ca="1" si="50"/>
        <v>9294</v>
      </c>
      <c r="N227">
        <f t="shared" ca="1" si="51"/>
        <v>1135</v>
      </c>
      <c r="O227">
        <f ca="1">Table2[[#This Row],[Delivery Date]]-Table2[[#This Row],[Order date]]</f>
        <v>5</v>
      </c>
      <c r="P227">
        <f ca="1">MAX(0,Table2[[#This Row],[Delivery Date]]-Table2[[#This Row],[Planned Delivery Date]])</f>
        <v>2</v>
      </c>
      <c r="Q227" t="str">
        <f ca="1">IF(Table2[[#This Row],[Delivery Date]]&lt;=Table2[[#This Row],[Planned Delivery Date]],"On Time","Delayed")</f>
        <v>Delayed</v>
      </c>
      <c r="R227">
        <f ca="1">Table2[[#This Row],[Revenue]]-Table2[[#This Row],[Transport Cost]]</f>
        <v>656.36999999999989</v>
      </c>
      <c r="S227" s="4">
        <f t="shared" ca="1" si="39"/>
        <v>0.16999999999999998</v>
      </c>
    </row>
    <row r="228" spans="1:19" x14ac:dyDescent="0.2">
      <c r="A228" t="s">
        <v>242</v>
      </c>
      <c r="B228" s="1">
        <f t="shared" ca="1" si="40"/>
        <v>46156</v>
      </c>
      <c r="C228" s="1">
        <f t="shared" ca="1" si="41"/>
        <v>46159</v>
      </c>
      <c r="D228" s="1">
        <f t="shared" ca="1" si="42"/>
        <v>46163</v>
      </c>
      <c r="E228" t="str">
        <f t="shared" ca="1" si="43"/>
        <v>Philips</v>
      </c>
      <c r="F228" t="str">
        <f t="shared" ca="1" si="44"/>
        <v>France</v>
      </c>
      <c r="G228" t="str">
        <f t="shared" ca="1" si="45"/>
        <v>Paris</v>
      </c>
      <c r="H228" t="str">
        <f t="shared" ca="1" si="46"/>
        <v>Rail</v>
      </c>
      <c r="I228" t="str">
        <f t="shared" ca="1" si="47"/>
        <v>DB Schenker</v>
      </c>
      <c r="J228" t="s">
        <v>316</v>
      </c>
      <c r="K228">
        <f t="shared" ca="1" si="48"/>
        <v>2748</v>
      </c>
      <c r="L228">
        <f t="shared" ca="1" si="49"/>
        <v>1813.68</v>
      </c>
      <c r="M228">
        <f t="shared" ca="1" si="50"/>
        <v>5855</v>
      </c>
      <c r="N228">
        <f t="shared" ca="1" si="51"/>
        <v>1300</v>
      </c>
      <c r="O228">
        <f ca="1">Table2[[#This Row],[Delivery Date]]-Table2[[#This Row],[Order date]]</f>
        <v>7</v>
      </c>
      <c r="P228">
        <f ca="1">MAX(0,Table2[[#This Row],[Delivery Date]]-Table2[[#This Row],[Planned Delivery Date]])</f>
        <v>4</v>
      </c>
      <c r="Q228" t="str">
        <f ca="1">IF(Table2[[#This Row],[Delivery Date]]&lt;=Table2[[#This Row],[Planned Delivery Date]],"On Time","Delayed")</f>
        <v>Delayed</v>
      </c>
      <c r="R228">
        <f ca="1">Table2[[#This Row],[Revenue]]-Table2[[#This Row],[Transport Cost]]</f>
        <v>934.31999999999994</v>
      </c>
      <c r="S228" s="4">
        <f t="shared" ca="1" si="39"/>
        <v>0.33999999999999997</v>
      </c>
    </row>
    <row r="229" spans="1:19" x14ac:dyDescent="0.2">
      <c r="A229" t="s">
        <v>243</v>
      </c>
      <c r="B229" s="1">
        <f t="shared" ca="1" si="40"/>
        <v>46183</v>
      </c>
      <c r="C229" s="1">
        <f t="shared" ca="1" si="41"/>
        <v>46185</v>
      </c>
      <c r="D229" s="1">
        <f t="shared" ca="1" si="42"/>
        <v>46188</v>
      </c>
      <c r="E229" t="str">
        <f t="shared" ca="1" si="43"/>
        <v>Allegro</v>
      </c>
      <c r="F229" t="str">
        <f t="shared" ca="1" si="44"/>
        <v>Italy</v>
      </c>
      <c r="G229" t="str">
        <f t="shared" ca="1" si="45"/>
        <v>Rome</v>
      </c>
      <c r="H229" t="str">
        <f t="shared" ca="1" si="46"/>
        <v>Sea</v>
      </c>
      <c r="I229" t="str">
        <f t="shared" ca="1" si="47"/>
        <v>Maersk</v>
      </c>
      <c r="J229" t="s">
        <v>316</v>
      </c>
      <c r="K229">
        <f t="shared" ca="1" si="48"/>
        <v>4422</v>
      </c>
      <c r="L229">
        <f t="shared" ca="1" si="49"/>
        <v>2653.2</v>
      </c>
      <c r="M229">
        <f t="shared" ca="1" si="50"/>
        <v>6454</v>
      </c>
      <c r="N229">
        <f t="shared" ca="1" si="51"/>
        <v>1365</v>
      </c>
      <c r="O229">
        <f ca="1">Table2[[#This Row],[Delivery Date]]-Table2[[#This Row],[Order date]]</f>
        <v>5</v>
      </c>
      <c r="P229">
        <f ca="1">MAX(0,Table2[[#This Row],[Delivery Date]]-Table2[[#This Row],[Planned Delivery Date]])</f>
        <v>3</v>
      </c>
      <c r="Q229" t="str">
        <f ca="1">IF(Table2[[#This Row],[Delivery Date]]&lt;=Table2[[#This Row],[Planned Delivery Date]],"On Time","Delayed")</f>
        <v>Delayed</v>
      </c>
      <c r="R229">
        <f ca="1">Table2[[#This Row],[Revenue]]-Table2[[#This Row],[Transport Cost]]</f>
        <v>1768.8000000000002</v>
      </c>
      <c r="S229" s="4">
        <f t="shared" ca="1" si="39"/>
        <v>0.4</v>
      </c>
    </row>
    <row r="230" spans="1:19" x14ac:dyDescent="0.2">
      <c r="A230" t="s">
        <v>244</v>
      </c>
      <c r="B230" s="1">
        <f t="shared" ca="1" si="40"/>
        <v>46123</v>
      </c>
      <c r="C230" s="1">
        <f t="shared" ca="1" si="41"/>
        <v>46131</v>
      </c>
      <c r="D230" s="1">
        <f t="shared" ca="1" si="42"/>
        <v>46135</v>
      </c>
      <c r="E230" t="str">
        <f t="shared" ca="1" si="43"/>
        <v>H&amp;M</v>
      </c>
      <c r="F230" t="str">
        <f t="shared" ca="1" si="44"/>
        <v>Italy</v>
      </c>
      <c r="G230" t="str">
        <f t="shared" ca="1" si="45"/>
        <v>Rome</v>
      </c>
      <c r="H230" t="str">
        <f t="shared" ca="1" si="46"/>
        <v>Air</v>
      </c>
      <c r="I230" t="str">
        <f t="shared" ca="1" si="47"/>
        <v>FedEx</v>
      </c>
      <c r="J230" t="s">
        <v>316</v>
      </c>
      <c r="K230">
        <f t="shared" ca="1" si="48"/>
        <v>4133</v>
      </c>
      <c r="L230">
        <f t="shared" ca="1" si="49"/>
        <v>2314.48</v>
      </c>
      <c r="M230">
        <f t="shared" ca="1" si="50"/>
        <v>398</v>
      </c>
      <c r="N230">
        <f t="shared" ca="1" si="51"/>
        <v>1237</v>
      </c>
      <c r="O230">
        <f ca="1">Table2[[#This Row],[Delivery Date]]-Table2[[#This Row],[Order date]]</f>
        <v>12</v>
      </c>
      <c r="P230">
        <f ca="1">MAX(0,Table2[[#This Row],[Delivery Date]]-Table2[[#This Row],[Planned Delivery Date]])</f>
        <v>4</v>
      </c>
      <c r="Q230" t="str">
        <f ca="1">IF(Table2[[#This Row],[Delivery Date]]&lt;=Table2[[#This Row],[Planned Delivery Date]],"On Time","Delayed")</f>
        <v>Delayed</v>
      </c>
      <c r="R230">
        <f ca="1">Table2[[#This Row],[Revenue]]-Table2[[#This Row],[Transport Cost]]</f>
        <v>1818.52</v>
      </c>
      <c r="S230" s="4">
        <f t="shared" ca="1" si="39"/>
        <v>0.44</v>
      </c>
    </row>
    <row r="231" spans="1:19" x14ac:dyDescent="0.2">
      <c r="A231" t="s">
        <v>245</v>
      </c>
      <c r="B231" s="1">
        <f t="shared" ca="1" si="40"/>
        <v>46094</v>
      </c>
      <c r="C231" s="1">
        <f t="shared" ca="1" si="41"/>
        <v>46097</v>
      </c>
      <c r="D231" s="1">
        <f t="shared" ca="1" si="42"/>
        <v>46100</v>
      </c>
      <c r="E231" t="str">
        <f t="shared" ca="1" si="43"/>
        <v>IKEA</v>
      </c>
      <c r="F231" t="str">
        <f t="shared" ca="1" si="44"/>
        <v>Germany</v>
      </c>
      <c r="G231" t="str">
        <f t="shared" ca="1" si="45"/>
        <v>Munich</v>
      </c>
      <c r="H231" t="str">
        <f t="shared" ca="1" si="46"/>
        <v>Sea</v>
      </c>
      <c r="I231" t="str">
        <f t="shared" ca="1" si="47"/>
        <v>Kuehne+Nagel</v>
      </c>
      <c r="J231" t="s">
        <v>316</v>
      </c>
      <c r="K231">
        <f t="shared" ca="1" si="48"/>
        <v>1948</v>
      </c>
      <c r="L231">
        <f t="shared" ca="1" si="49"/>
        <v>1266.2</v>
      </c>
      <c r="M231">
        <f t="shared" ca="1" si="50"/>
        <v>2816</v>
      </c>
      <c r="N231">
        <f t="shared" ca="1" si="51"/>
        <v>907</v>
      </c>
      <c r="O231">
        <f ca="1">Table2[[#This Row],[Delivery Date]]-Table2[[#This Row],[Order date]]</f>
        <v>6</v>
      </c>
      <c r="P231">
        <f ca="1">MAX(0,Table2[[#This Row],[Delivery Date]]-Table2[[#This Row],[Planned Delivery Date]])</f>
        <v>3</v>
      </c>
      <c r="Q231" t="str">
        <f ca="1">IF(Table2[[#This Row],[Delivery Date]]&lt;=Table2[[#This Row],[Planned Delivery Date]],"On Time","Delayed")</f>
        <v>Delayed</v>
      </c>
      <c r="R231">
        <f ca="1">Table2[[#This Row],[Revenue]]-Table2[[#This Row],[Transport Cost]]</f>
        <v>681.8</v>
      </c>
      <c r="S231" s="4">
        <f t="shared" ca="1" si="39"/>
        <v>0.35</v>
      </c>
    </row>
    <row r="232" spans="1:19" x14ac:dyDescent="0.2">
      <c r="A232" t="s">
        <v>246</v>
      </c>
      <c r="B232" s="1">
        <f t="shared" ca="1" si="40"/>
        <v>46054</v>
      </c>
      <c r="C232" s="1">
        <f t="shared" ca="1" si="41"/>
        <v>46058</v>
      </c>
      <c r="D232" s="1">
        <f t="shared" ca="1" si="42"/>
        <v>46061</v>
      </c>
      <c r="E232" t="str">
        <f t="shared" ca="1" si="43"/>
        <v>H&amp;M</v>
      </c>
      <c r="F232" t="str">
        <f t="shared" ca="1" si="44"/>
        <v>Poland</v>
      </c>
      <c r="G232" t="str">
        <f t="shared" ca="1" si="45"/>
        <v>Gdansk</v>
      </c>
      <c r="H232" t="str">
        <f t="shared" ca="1" si="46"/>
        <v>Air</v>
      </c>
      <c r="I232" t="str">
        <f t="shared" ca="1" si="47"/>
        <v>DHL</v>
      </c>
      <c r="J232" t="s">
        <v>316</v>
      </c>
      <c r="K232">
        <f t="shared" ca="1" si="48"/>
        <v>4796</v>
      </c>
      <c r="L232">
        <f t="shared" ca="1" si="49"/>
        <v>3069.44</v>
      </c>
      <c r="M232">
        <f t="shared" ca="1" si="50"/>
        <v>573</v>
      </c>
      <c r="N232">
        <f t="shared" ca="1" si="51"/>
        <v>53</v>
      </c>
      <c r="O232">
        <f ca="1">Table2[[#This Row],[Delivery Date]]-Table2[[#This Row],[Order date]]</f>
        <v>7</v>
      </c>
      <c r="P232">
        <f ca="1">MAX(0,Table2[[#This Row],[Delivery Date]]-Table2[[#This Row],[Planned Delivery Date]])</f>
        <v>3</v>
      </c>
      <c r="Q232" t="str">
        <f ca="1">IF(Table2[[#This Row],[Delivery Date]]&lt;=Table2[[#This Row],[Planned Delivery Date]],"On Time","Delayed")</f>
        <v>Delayed</v>
      </c>
      <c r="R232">
        <f ca="1">Table2[[#This Row],[Revenue]]-Table2[[#This Row],[Transport Cost]]</f>
        <v>1726.56</v>
      </c>
      <c r="S232" s="4">
        <f t="shared" ca="1" si="39"/>
        <v>0.36</v>
      </c>
    </row>
    <row r="233" spans="1:19" x14ac:dyDescent="0.2">
      <c r="A233" t="s">
        <v>247</v>
      </c>
      <c r="B233" s="1">
        <f t="shared" ca="1" si="40"/>
        <v>46113</v>
      </c>
      <c r="C233" s="1">
        <f t="shared" ca="1" si="41"/>
        <v>46117</v>
      </c>
      <c r="D233" s="1">
        <f t="shared" ca="1" si="42"/>
        <v>46116</v>
      </c>
      <c r="E233" t="str">
        <f t="shared" ca="1" si="43"/>
        <v>Bosch</v>
      </c>
      <c r="F233" t="str">
        <f t="shared" ca="1" si="44"/>
        <v>Poland</v>
      </c>
      <c r="G233" t="str">
        <f t="shared" ca="1" si="45"/>
        <v>Warsaw</v>
      </c>
      <c r="H233" t="str">
        <f t="shared" ca="1" si="46"/>
        <v>Air</v>
      </c>
      <c r="I233" t="str">
        <f t="shared" ca="1" si="47"/>
        <v>UPS</v>
      </c>
      <c r="J233" t="s">
        <v>316</v>
      </c>
      <c r="K233">
        <f t="shared" ca="1" si="48"/>
        <v>2535</v>
      </c>
      <c r="L233">
        <f t="shared" ca="1" si="49"/>
        <v>1394.25</v>
      </c>
      <c r="M233">
        <f t="shared" ca="1" si="50"/>
        <v>155</v>
      </c>
      <c r="N233">
        <f t="shared" ca="1" si="51"/>
        <v>558</v>
      </c>
      <c r="O233">
        <f ca="1">Table2[[#This Row],[Delivery Date]]-Table2[[#This Row],[Order date]]</f>
        <v>3</v>
      </c>
      <c r="P233">
        <f ca="1">MAX(0,Table2[[#This Row],[Delivery Date]]-Table2[[#This Row],[Planned Delivery Date]])</f>
        <v>0</v>
      </c>
      <c r="Q233" t="str">
        <f ca="1">IF(Table2[[#This Row],[Delivery Date]]&lt;=Table2[[#This Row],[Planned Delivery Date]],"On Time","Delayed")</f>
        <v>On Time</v>
      </c>
      <c r="R233">
        <f ca="1">Table2[[#This Row],[Revenue]]-Table2[[#This Row],[Transport Cost]]</f>
        <v>1140.75</v>
      </c>
      <c r="S233" s="4">
        <f t="shared" ca="1" si="39"/>
        <v>0.45</v>
      </c>
    </row>
    <row r="234" spans="1:19" x14ac:dyDescent="0.2">
      <c r="A234" t="s">
        <v>248</v>
      </c>
      <c r="B234" s="1">
        <f t="shared" ca="1" si="40"/>
        <v>46052</v>
      </c>
      <c r="C234" s="1">
        <f t="shared" ca="1" si="41"/>
        <v>46055</v>
      </c>
      <c r="D234" s="1">
        <f t="shared" ca="1" si="42"/>
        <v>46060</v>
      </c>
      <c r="E234" t="str">
        <f t="shared" ca="1" si="43"/>
        <v>H&amp;M</v>
      </c>
      <c r="F234" t="str">
        <f t="shared" ca="1" si="44"/>
        <v>Germany</v>
      </c>
      <c r="G234" t="str">
        <f t="shared" ca="1" si="45"/>
        <v>Berlin</v>
      </c>
      <c r="H234" t="str">
        <f t="shared" ca="1" si="46"/>
        <v>Rail</v>
      </c>
      <c r="I234" t="str">
        <f t="shared" ca="1" si="47"/>
        <v>Kuehne+Nagel</v>
      </c>
      <c r="J234" t="s">
        <v>316</v>
      </c>
      <c r="K234">
        <f t="shared" ca="1" si="48"/>
        <v>1877</v>
      </c>
      <c r="L234">
        <f t="shared" ca="1" si="49"/>
        <v>1257.5899999999999</v>
      </c>
      <c r="M234">
        <f t="shared" ca="1" si="50"/>
        <v>1181</v>
      </c>
      <c r="N234">
        <f t="shared" ca="1" si="51"/>
        <v>910</v>
      </c>
      <c r="O234">
        <f ca="1">Table2[[#This Row],[Delivery Date]]-Table2[[#This Row],[Order date]]</f>
        <v>8</v>
      </c>
      <c r="P234">
        <f ca="1">MAX(0,Table2[[#This Row],[Delivery Date]]-Table2[[#This Row],[Planned Delivery Date]])</f>
        <v>5</v>
      </c>
      <c r="Q234" t="str">
        <f ca="1">IF(Table2[[#This Row],[Delivery Date]]&lt;=Table2[[#This Row],[Planned Delivery Date]],"On Time","Delayed")</f>
        <v>Delayed</v>
      </c>
      <c r="R234">
        <f ca="1">Table2[[#This Row],[Revenue]]-Table2[[#This Row],[Transport Cost]]</f>
        <v>619.41000000000008</v>
      </c>
      <c r="S234" s="4">
        <f t="shared" ca="1" si="39"/>
        <v>0.33000000000000007</v>
      </c>
    </row>
    <row r="235" spans="1:19" x14ac:dyDescent="0.2">
      <c r="A235" t="s">
        <v>249</v>
      </c>
      <c r="B235" s="1">
        <f t="shared" ca="1" si="40"/>
        <v>46068</v>
      </c>
      <c r="C235" s="1">
        <f t="shared" ca="1" si="41"/>
        <v>46073</v>
      </c>
      <c r="D235" s="1">
        <f t="shared" ca="1" si="42"/>
        <v>46074</v>
      </c>
      <c r="E235" t="str">
        <f t="shared" ca="1" si="43"/>
        <v>Bosch</v>
      </c>
      <c r="F235" t="str">
        <f t="shared" ca="1" si="44"/>
        <v>Czech Republic</v>
      </c>
      <c r="G235" t="str">
        <f t="shared" ca="1" si="45"/>
        <v>Prague</v>
      </c>
      <c r="H235" t="str">
        <f t="shared" ca="1" si="46"/>
        <v>Rail</v>
      </c>
      <c r="I235" t="str">
        <f t="shared" ca="1" si="47"/>
        <v>DB Schenker</v>
      </c>
      <c r="J235" t="s">
        <v>316</v>
      </c>
      <c r="K235">
        <f t="shared" ca="1" si="48"/>
        <v>1765</v>
      </c>
      <c r="L235">
        <f t="shared" ca="1" si="49"/>
        <v>1376.7</v>
      </c>
      <c r="M235">
        <f t="shared" ca="1" si="50"/>
        <v>2133</v>
      </c>
      <c r="N235">
        <f t="shared" ca="1" si="51"/>
        <v>509</v>
      </c>
      <c r="O235">
        <f ca="1">Table2[[#This Row],[Delivery Date]]-Table2[[#This Row],[Order date]]</f>
        <v>6</v>
      </c>
      <c r="P235">
        <f ca="1">MAX(0,Table2[[#This Row],[Delivery Date]]-Table2[[#This Row],[Planned Delivery Date]])</f>
        <v>1</v>
      </c>
      <c r="Q235" t="str">
        <f ca="1">IF(Table2[[#This Row],[Delivery Date]]&lt;=Table2[[#This Row],[Planned Delivery Date]],"On Time","Delayed")</f>
        <v>Delayed</v>
      </c>
      <c r="R235">
        <f ca="1">Table2[[#This Row],[Revenue]]-Table2[[#This Row],[Transport Cost]]</f>
        <v>388.29999999999995</v>
      </c>
      <c r="S235" s="4">
        <f t="shared" ca="1" si="39"/>
        <v>0.21999999999999997</v>
      </c>
    </row>
    <row r="236" spans="1:19" x14ac:dyDescent="0.2">
      <c r="A236" t="s">
        <v>250</v>
      </c>
      <c r="B236" s="1">
        <f t="shared" ca="1" si="40"/>
        <v>46028</v>
      </c>
      <c r="C236" s="1">
        <f t="shared" ca="1" si="41"/>
        <v>46033</v>
      </c>
      <c r="D236" s="1">
        <f t="shared" ca="1" si="42"/>
        <v>46036</v>
      </c>
      <c r="E236" t="str">
        <f t="shared" ca="1" si="43"/>
        <v>Bosch</v>
      </c>
      <c r="F236" t="str">
        <f t="shared" ca="1" si="44"/>
        <v>Poland</v>
      </c>
      <c r="G236" t="str">
        <f t="shared" ca="1" si="45"/>
        <v>Gdansk</v>
      </c>
      <c r="H236" t="str">
        <f t="shared" ca="1" si="46"/>
        <v>Road</v>
      </c>
      <c r="I236" t="str">
        <f t="shared" ca="1" si="47"/>
        <v>FedEx</v>
      </c>
      <c r="J236" t="s">
        <v>316</v>
      </c>
      <c r="K236">
        <f t="shared" ca="1" si="48"/>
        <v>1279</v>
      </c>
      <c r="L236">
        <f t="shared" ca="1" si="49"/>
        <v>869.72</v>
      </c>
      <c r="M236">
        <f t="shared" ca="1" si="50"/>
        <v>250</v>
      </c>
      <c r="N236">
        <f t="shared" ca="1" si="51"/>
        <v>134</v>
      </c>
      <c r="O236">
        <f ca="1">Table2[[#This Row],[Delivery Date]]-Table2[[#This Row],[Order date]]</f>
        <v>8</v>
      </c>
      <c r="P236">
        <f ca="1">MAX(0,Table2[[#This Row],[Delivery Date]]-Table2[[#This Row],[Planned Delivery Date]])</f>
        <v>3</v>
      </c>
      <c r="Q236" t="str">
        <f ca="1">IF(Table2[[#This Row],[Delivery Date]]&lt;=Table2[[#This Row],[Planned Delivery Date]],"On Time","Delayed")</f>
        <v>Delayed</v>
      </c>
      <c r="R236">
        <f ca="1">Table2[[#This Row],[Revenue]]-Table2[[#This Row],[Transport Cost]]</f>
        <v>409.28</v>
      </c>
      <c r="S236" s="4">
        <f t="shared" ca="1" si="39"/>
        <v>0.31999999999999995</v>
      </c>
    </row>
    <row r="237" spans="1:19" x14ac:dyDescent="0.2">
      <c r="A237" t="s">
        <v>251</v>
      </c>
      <c r="B237" s="1">
        <f t="shared" ca="1" si="40"/>
        <v>46032</v>
      </c>
      <c r="C237" s="1">
        <f t="shared" ca="1" si="41"/>
        <v>46038</v>
      </c>
      <c r="D237" s="1">
        <f t="shared" ca="1" si="42"/>
        <v>46038</v>
      </c>
      <c r="E237" t="str">
        <f t="shared" ca="1" si="43"/>
        <v>Samsung</v>
      </c>
      <c r="F237" t="str">
        <f t="shared" ca="1" si="44"/>
        <v>Spain</v>
      </c>
      <c r="G237" t="str">
        <f t="shared" ca="1" si="45"/>
        <v>Madrid</v>
      </c>
      <c r="H237" t="str">
        <f t="shared" ca="1" si="46"/>
        <v>Sea</v>
      </c>
      <c r="I237" t="str">
        <f t="shared" ca="1" si="47"/>
        <v>Kuehne+Nagel</v>
      </c>
      <c r="J237" t="s">
        <v>316</v>
      </c>
      <c r="K237">
        <f t="shared" ca="1" si="48"/>
        <v>2031</v>
      </c>
      <c r="L237">
        <f t="shared" ca="1" si="49"/>
        <v>1482.63</v>
      </c>
      <c r="M237">
        <f t="shared" ca="1" si="50"/>
        <v>10892</v>
      </c>
      <c r="N237">
        <f t="shared" ca="1" si="51"/>
        <v>2491</v>
      </c>
      <c r="O237">
        <f ca="1">Table2[[#This Row],[Delivery Date]]-Table2[[#This Row],[Order date]]</f>
        <v>6</v>
      </c>
      <c r="P237">
        <f ca="1">MAX(0,Table2[[#This Row],[Delivery Date]]-Table2[[#This Row],[Planned Delivery Date]])</f>
        <v>0</v>
      </c>
      <c r="Q237" t="str">
        <f ca="1">IF(Table2[[#This Row],[Delivery Date]]&lt;=Table2[[#This Row],[Planned Delivery Date]],"On Time","Delayed")</f>
        <v>On Time</v>
      </c>
      <c r="R237">
        <f ca="1">Table2[[#This Row],[Revenue]]-Table2[[#This Row],[Transport Cost]]</f>
        <v>548.36999999999989</v>
      </c>
      <c r="S237" s="4">
        <f t="shared" ca="1" si="39"/>
        <v>0.26999999999999996</v>
      </c>
    </row>
    <row r="238" spans="1:19" x14ac:dyDescent="0.2">
      <c r="A238" t="s">
        <v>252</v>
      </c>
      <c r="B238" s="1">
        <f t="shared" ca="1" si="40"/>
        <v>46134</v>
      </c>
      <c r="C238" s="1">
        <f t="shared" ca="1" si="41"/>
        <v>46139</v>
      </c>
      <c r="D238" s="1">
        <f t="shared" ca="1" si="42"/>
        <v>46140</v>
      </c>
      <c r="E238" t="str">
        <f t="shared" ca="1" si="43"/>
        <v>Philips</v>
      </c>
      <c r="F238" t="str">
        <f t="shared" ca="1" si="44"/>
        <v>Italy</v>
      </c>
      <c r="G238" t="str">
        <f t="shared" ca="1" si="45"/>
        <v>Rome</v>
      </c>
      <c r="H238" t="str">
        <f t="shared" ca="1" si="46"/>
        <v>Road</v>
      </c>
      <c r="I238" t="str">
        <f t="shared" ca="1" si="47"/>
        <v>DHL</v>
      </c>
      <c r="J238" t="s">
        <v>316</v>
      </c>
      <c r="K238">
        <f t="shared" ca="1" si="48"/>
        <v>1331</v>
      </c>
      <c r="L238">
        <f t="shared" ca="1" si="49"/>
        <v>878.46</v>
      </c>
      <c r="M238">
        <f t="shared" ca="1" si="50"/>
        <v>3123</v>
      </c>
      <c r="N238">
        <f t="shared" ca="1" si="51"/>
        <v>1413</v>
      </c>
      <c r="O238">
        <f ca="1">Table2[[#This Row],[Delivery Date]]-Table2[[#This Row],[Order date]]</f>
        <v>6</v>
      </c>
      <c r="P238">
        <f ca="1">MAX(0,Table2[[#This Row],[Delivery Date]]-Table2[[#This Row],[Planned Delivery Date]])</f>
        <v>1</v>
      </c>
      <c r="Q238" t="str">
        <f ca="1">IF(Table2[[#This Row],[Delivery Date]]&lt;=Table2[[#This Row],[Planned Delivery Date]],"On Time","Delayed")</f>
        <v>Delayed</v>
      </c>
      <c r="R238">
        <f ca="1">Table2[[#This Row],[Revenue]]-Table2[[#This Row],[Transport Cost]]</f>
        <v>452.53999999999996</v>
      </c>
      <c r="S238" s="4">
        <f t="shared" ca="1" si="39"/>
        <v>0.33999999999999997</v>
      </c>
    </row>
    <row r="239" spans="1:19" x14ac:dyDescent="0.2">
      <c r="A239" t="s">
        <v>253</v>
      </c>
      <c r="B239" s="1">
        <f t="shared" ca="1" si="40"/>
        <v>46083</v>
      </c>
      <c r="C239" s="1">
        <f t="shared" ca="1" si="41"/>
        <v>46085</v>
      </c>
      <c r="D239" s="1">
        <f t="shared" ca="1" si="42"/>
        <v>46085</v>
      </c>
      <c r="E239" t="str">
        <f t="shared" ca="1" si="43"/>
        <v>Allegro</v>
      </c>
      <c r="F239" t="str">
        <f t="shared" ca="1" si="44"/>
        <v>France</v>
      </c>
      <c r="G239" t="str">
        <f t="shared" ca="1" si="45"/>
        <v>Paris</v>
      </c>
      <c r="H239" t="str">
        <f t="shared" ca="1" si="46"/>
        <v>Rail</v>
      </c>
      <c r="I239" t="str">
        <f t="shared" ca="1" si="47"/>
        <v>DB Schenker</v>
      </c>
      <c r="J239" t="s">
        <v>316</v>
      </c>
      <c r="K239">
        <f t="shared" ca="1" si="48"/>
        <v>2435</v>
      </c>
      <c r="L239">
        <f t="shared" ca="1" si="49"/>
        <v>1363.6</v>
      </c>
      <c r="M239">
        <f t="shared" ca="1" si="50"/>
        <v>3705</v>
      </c>
      <c r="N239">
        <f t="shared" ca="1" si="51"/>
        <v>1415</v>
      </c>
      <c r="O239">
        <f ca="1">Table2[[#This Row],[Delivery Date]]-Table2[[#This Row],[Order date]]</f>
        <v>2</v>
      </c>
      <c r="P239">
        <f ca="1">MAX(0,Table2[[#This Row],[Delivery Date]]-Table2[[#This Row],[Planned Delivery Date]])</f>
        <v>0</v>
      </c>
      <c r="Q239" t="str">
        <f ca="1">IF(Table2[[#This Row],[Delivery Date]]&lt;=Table2[[#This Row],[Planned Delivery Date]],"On Time","Delayed")</f>
        <v>On Time</v>
      </c>
      <c r="R239">
        <f ca="1">Table2[[#This Row],[Revenue]]-Table2[[#This Row],[Transport Cost]]</f>
        <v>1071.4000000000001</v>
      </c>
      <c r="S239" s="4">
        <f t="shared" ca="1" si="39"/>
        <v>0.44000000000000006</v>
      </c>
    </row>
    <row r="240" spans="1:19" x14ac:dyDescent="0.2">
      <c r="A240" t="s">
        <v>254</v>
      </c>
      <c r="B240" s="1">
        <f t="shared" ca="1" si="40"/>
        <v>46137</v>
      </c>
      <c r="C240" s="1">
        <f t="shared" ca="1" si="41"/>
        <v>46144</v>
      </c>
      <c r="D240" s="1">
        <f t="shared" ca="1" si="42"/>
        <v>46149</v>
      </c>
      <c r="E240" t="str">
        <f t="shared" ca="1" si="43"/>
        <v>Allegro</v>
      </c>
      <c r="F240" t="str">
        <f t="shared" ca="1" si="44"/>
        <v>Spain</v>
      </c>
      <c r="G240" t="str">
        <f t="shared" ca="1" si="45"/>
        <v>Barcelona</v>
      </c>
      <c r="H240" t="str">
        <f t="shared" ca="1" si="46"/>
        <v>Air</v>
      </c>
      <c r="I240" t="str">
        <f t="shared" ca="1" si="47"/>
        <v>DHL</v>
      </c>
      <c r="J240" t="s">
        <v>316</v>
      </c>
      <c r="K240">
        <f t="shared" ca="1" si="48"/>
        <v>2498</v>
      </c>
      <c r="L240">
        <f t="shared" ca="1" si="49"/>
        <v>1723.62</v>
      </c>
      <c r="M240">
        <f t="shared" ca="1" si="50"/>
        <v>146</v>
      </c>
      <c r="N240">
        <f t="shared" ca="1" si="51"/>
        <v>2071</v>
      </c>
      <c r="O240">
        <f ca="1">Table2[[#This Row],[Delivery Date]]-Table2[[#This Row],[Order date]]</f>
        <v>12</v>
      </c>
      <c r="P240">
        <f ca="1">MAX(0,Table2[[#This Row],[Delivery Date]]-Table2[[#This Row],[Planned Delivery Date]])</f>
        <v>5</v>
      </c>
      <c r="Q240" t="str">
        <f ca="1">IF(Table2[[#This Row],[Delivery Date]]&lt;=Table2[[#This Row],[Planned Delivery Date]],"On Time","Delayed")</f>
        <v>Delayed</v>
      </c>
      <c r="R240">
        <f ca="1">Table2[[#This Row],[Revenue]]-Table2[[#This Row],[Transport Cost]]</f>
        <v>774.38000000000011</v>
      </c>
      <c r="S240" s="4">
        <f t="shared" ca="1" si="39"/>
        <v>0.31000000000000005</v>
      </c>
    </row>
    <row r="241" spans="1:19" x14ac:dyDescent="0.2">
      <c r="A241" t="s">
        <v>255</v>
      </c>
      <c r="B241" s="1">
        <f t="shared" ca="1" si="40"/>
        <v>46098</v>
      </c>
      <c r="C241" s="1">
        <f t="shared" ca="1" si="41"/>
        <v>46105</v>
      </c>
      <c r="D241" s="1">
        <f t="shared" ca="1" si="42"/>
        <v>46105</v>
      </c>
      <c r="E241" t="str">
        <f t="shared" ca="1" si="43"/>
        <v>Samsung</v>
      </c>
      <c r="F241" t="str">
        <f t="shared" ca="1" si="44"/>
        <v>Italy</v>
      </c>
      <c r="G241" t="str">
        <f t="shared" ca="1" si="45"/>
        <v>Rome</v>
      </c>
      <c r="H241" t="str">
        <f t="shared" ca="1" si="46"/>
        <v>Air</v>
      </c>
      <c r="I241" t="str">
        <f t="shared" ca="1" si="47"/>
        <v>DHL</v>
      </c>
      <c r="J241" t="s">
        <v>316</v>
      </c>
      <c r="K241">
        <f t="shared" ca="1" si="48"/>
        <v>3311</v>
      </c>
      <c r="L241">
        <f t="shared" ca="1" si="49"/>
        <v>2119.04</v>
      </c>
      <c r="M241">
        <f t="shared" ca="1" si="50"/>
        <v>615</v>
      </c>
      <c r="N241">
        <f t="shared" ca="1" si="51"/>
        <v>1654</v>
      </c>
      <c r="O241">
        <f ca="1">Table2[[#This Row],[Delivery Date]]-Table2[[#This Row],[Order date]]</f>
        <v>7</v>
      </c>
      <c r="P241">
        <f ca="1">MAX(0,Table2[[#This Row],[Delivery Date]]-Table2[[#This Row],[Planned Delivery Date]])</f>
        <v>0</v>
      </c>
      <c r="Q241" t="str">
        <f ca="1">IF(Table2[[#This Row],[Delivery Date]]&lt;=Table2[[#This Row],[Planned Delivery Date]],"On Time","Delayed")</f>
        <v>On Time</v>
      </c>
      <c r="R241">
        <f ca="1">Table2[[#This Row],[Revenue]]-Table2[[#This Row],[Transport Cost]]</f>
        <v>1191.96</v>
      </c>
      <c r="S241" s="4">
        <f t="shared" ca="1" si="39"/>
        <v>0.36</v>
      </c>
    </row>
    <row r="242" spans="1:19" x14ac:dyDescent="0.2">
      <c r="A242" t="s">
        <v>256</v>
      </c>
      <c r="B242" s="1">
        <f t="shared" ca="1" si="40"/>
        <v>46039</v>
      </c>
      <c r="C242" s="1">
        <f t="shared" ca="1" si="41"/>
        <v>46045</v>
      </c>
      <c r="D242" s="1">
        <f t="shared" ca="1" si="42"/>
        <v>46049</v>
      </c>
      <c r="E242" t="str">
        <f t="shared" ca="1" si="43"/>
        <v>Bosch</v>
      </c>
      <c r="F242" t="str">
        <f t="shared" ca="1" si="44"/>
        <v>Italy</v>
      </c>
      <c r="G242" t="str">
        <f t="shared" ca="1" si="45"/>
        <v>Rome</v>
      </c>
      <c r="H242" t="str">
        <f t="shared" ca="1" si="46"/>
        <v>Sea</v>
      </c>
      <c r="I242" t="str">
        <f t="shared" ca="1" si="47"/>
        <v>Kuehne+Nagel</v>
      </c>
      <c r="J242" t="s">
        <v>316</v>
      </c>
      <c r="K242">
        <f t="shared" ca="1" si="48"/>
        <v>1916</v>
      </c>
      <c r="L242">
        <f t="shared" ca="1" si="49"/>
        <v>1111.28</v>
      </c>
      <c r="M242">
        <f t="shared" ca="1" si="50"/>
        <v>8525</v>
      </c>
      <c r="N242">
        <f t="shared" ca="1" si="51"/>
        <v>1759</v>
      </c>
      <c r="O242">
        <f ca="1">Table2[[#This Row],[Delivery Date]]-Table2[[#This Row],[Order date]]</f>
        <v>10</v>
      </c>
      <c r="P242">
        <f ca="1">MAX(0,Table2[[#This Row],[Delivery Date]]-Table2[[#This Row],[Planned Delivery Date]])</f>
        <v>4</v>
      </c>
      <c r="Q242" t="str">
        <f ca="1">IF(Table2[[#This Row],[Delivery Date]]&lt;=Table2[[#This Row],[Planned Delivery Date]],"On Time","Delayed")</f>
        <v>Delayed</v>
      </c>
      <c r="R242">
        <f ca="1">Table2[[#This Row],[Revenue]]-Table2[[#This Row],[Transport Cost]]</f>
        <v>804.72</v>
      </c>
      <c r="S242" s="4">
        <f t="shared" ca="1" si="39"/>
        <v>0.42000000000000004</v>
      </c>
    </row>
    <row r="243" spans="1:19" x14ac:dyDescent="0.2">
      <c r="A243" t="s">
        <v>257</v>
      </c>
      <c r="B243" s="1">
        <f t="shared" ca="1" si="40"/>
        <v>46143</v>
      </c>
      <c r="C243" s="1">
        <f t="shared" ca="1" si="41"/>
        <v>46149</v>
      </c>
      <c r="D243" s="1">
        <f t="shared" ca="1" si="42"/>
        <v>46150</v>
      </c>
      <c r="E243" t="str">
        <f t="shared" ca="1" si="43"/>
        <v>Zara</v>
      </c>
      <c r="F243" t="str">
        <f t="shared" ca="1" si="44"/>
        <v>Italy</v>
      </c>
      <c r="G243" t="str">
        <f t="shared" ca="1" si="45"/>
        <v>Rome</v>
      </c>
      <c r="H243" t="str">
        <f t="shared" ca="1" si="46"/>
        <v>Rail</v>
      </c>
      <c r="I243" t="str">
        <f t="shared" ca="1" si="47"/>
        <v>Kuehne+Nagel</v>
      </c>
      <c r="J243" t="s">
        <v>316</v>
      </c>
      <c r="K243">
        <f t="shared" ca="1" si="48"/>
        <v>1579</v>
      </c>
      <c r="L243">
        <f t="shared" ca="1" si="49"/>
        <v>884.24</v>
      </c>
      <c r="M243">
        <f t="shared" ca="1" si="50"/>
        <v>1547</v>
      </c>
      <c r="N243">
        <f t="shared" ca="1" si="51"/>
        <v>1792</v>
      </c>
      <c r="O243">
        <f ca="1">Table2[[#This Row],[Delivery Date]]-Table2[[#This Row],[Order date]]</f>
        <v>7</v>
      </c>
      <c r="P243">
        <f ca="1">MAX(0,Table2[[#This Row],[Delivery Date]]-Table2[[#This Row],[Planned Delivery Date]])</f>
        <v>1</v>
      </c>
      <c r="Q243" t="str">
        <f ca="1">IF(Table2[[#This Row],[Delivery Date]]&lt;=Table2[[#This Row],[Planned Delivery Date]],"On Time","Delayed")</f>
        <v>Delayed</v>
      </c>
      <c r="R243">
        <f ca="1">Table2[[#This Row],[Revenue]]-Table2[[#This Row],[Transport Cost]]</f>
        <v>694.76</v>
      </c>
      <c r="S243" s="4">
        <f t="shared" ca="1" si="39"/>
        <v>0.44</v>
      </c>
    </row>
    <row r="244" spans="1:19" x14ac:dyDescent="0.2">
      <c r="A244" t="s">
        <v>258</v>
      </c>
      <c r="B244" s="1">
        <f t="shared" ca="1" si="40"/>
        <v>46069</v>
      </c>
      <c r="C244" s="1">
        <f t="shared" ca="1" si="41"/>
        <v>46078</v>
      </c>
      <c r="D244" s="1">
        <f t="shared" ca="1" si="42"/>
        <v>46080</v>
      </c>
      <c r="E244" t="str">
        <f t="shared" ca="1" si="43"/>
        <v>Philips</v>
      </c>
      <c r="F244" t="str">
        <f t="shared" ca="1" si="44"/>
        <v>Germany</v>
      </c>
      <c r="G244" t="str">
        <f t="shared" ca="1" si="45"/>
        <v>Hamburg</v>
      </c>
      <c r="H244" t="str">
        <f t="shared" ca="1" si="46"/>
        <v>Rail</v>
      </c>
      <c r="I244" t="str">
        <f t="shared" ca="1" si="47"/>
        <v>DB Schenker</v>
      </c>
      <c r="J244" t="s">
        <v>316</v>
      </c>
      <c r="K244">
        <f t="shared" ca="1" si="48"/>
        <v>1403</v>
      </c>
      <c r="L244">
        <f t="shared" ca="1" si="49"/>
        <v>1108.3699999999999</v>
      </c>
      <c r="M244">
        <f t="shared" ca="1" si="50"/>
        <v>8341</v>
      </c>
      <c r="N244">
        <f t="shared" ca="1" si="51"/>
        <v>667</v>
      </c>
      <c r="O244">
        <f ca="1">Table2[[#This Row],[Delivery Date]]-Table2[[#This Row],[Order date]]</f>
        <v>11</v>
      </c>
      <c r="P244">
        <f ca="1">MAX(0,Table2[[#This Row],[Delivery Date]]-Table2[[#This Row],[Planned Delivery Date]])</f>
        <v>2</v>
      </c>
      <c r="Q244" t="str">
        <f ca="1">IF(Table2[[#This Row],[Delivery Date]]&lt;=Table2[[#This Row],[Planned Delivery Date]],"On Time","Delayed")</f>
        <v>Delayed</v>
      </c>
      <c r="R244">
        <f ca="1">Table2[[#This Row],[Revenue]]-Table2[[#This Row],[Transport Cost]]</f>
        <v>294.63000000000011</v>
      </c>
      <c r="S244" s="4">
        <f t="shared" ca="1" si="39"/>
        <v>0.21000000000000008</v>
      </c>
    </row>
    <row r="245" spans="1:19" x14ac:dyDescent="0.2">
      <c r="A245" t="s">
        <v>259</v>
      </c>
      <c r="B245" s="1">
        <f t="shared" ca="1" si="40"/>
        <v>46126</v>
      </c>
      <c r="C245" s="1">
        <f t="shared" ca="1" si="41"/>
        <v>46128</v>
      </c>
      <c r="D245" s="1">
        <f t="shared" ca="1" si="42"/>
        <v>46132</v>
      </c>
      <c r="E245" t="str">
        <f t="shared" ca="1" si="43"/>
        <v>Philips</v>
      </c>
      <c r="F245" t="str">
        <f t="shared" ca="1" si="44"/>
        <v>Italy</v>
      </c>
      <c r="G245" t="str">
        <f t="shared" ca="1" si="45"/>
        <v>Milan</v>
      </c>
      <c r="H245" t="str">
        <f t="shared" ca="1" si="46"/>
        <v>Road</v>
      </c>
      <c r="I245" t="str">
        <f t="shared" ca="1" si="47"/>
        <v>DHL</v>
      </c>
      <c r="J245" t="s">
        <v>316</v>
      </c>
      <c r="K245">
        <f t="shared" ca="1" si="48"/>
        <v>1138</v>
      </c>
      <c r="L245">
        <f t="shared" ca="1" si="49"/>
        <v>944.54</v>
      </c>
      <c r="M245">
        <f t="shared" ca="1" si="50"/>
        <v>3131</v>
      </c>
      <c r="N245">
        <f t="shared" ca="1" si="51"/>
        <v>1760</v>
      </c>
      <c r="O245">
        <f ca="1">Table2[[#This Row],[Delivery Date]]-Table2[[#This Row],[Order date]]</f>
        <v>6</v>
      </c>
      <c r="P245">
        <f ca="1">MAX(0,Table2[[#This Row],[Delivery Date]]-Table2[[#This Row],[Planned Delivery Date]])</f>
        <v>4</v>
      </c>
      <c r="Q245" t="str">
        <f ca="1">IF(Table2[[#This Row],[Delivery Date]]&lt;=Table2[[#This Row],[Planned Delivery Date]],"On Time","Delayed")</f>
        <v>Delayed</v>
      </c>
      <c r="R245">
        <f ca="1">Table2[[#This Row],[Revenue]]-Table2[[#This Row],[Transport Cost]]</f>
        <v>193.46000000000004</v>
      </c>
      <c r="S245" s="4">
        <f t="shared" ca="1" si="39"/>
        <v>0.17000000000000004</v>
      </c>
    </row>
    <row r="246" spans="1:19" x14ac:dyDescent="0.2">
      <c r="A246" t="s">
        <v>260</v>
      </c>
      <c r="B246" s="1">
        <f t="shared" ca="1" si="40"/>
        <v>46136</v>
      </c>
      <c r="C246" s="1">
        <f t="shared" ca="1" si="41"/>
        <v>46139</v>
      </c>
      <c r="D246" s="1">
        <f t="shared" ca="1" si="42"/>
        <v>46138</v>
      </c>
      <c r="E246" t="str">
        <f t="shared" ca="1" si="43"/>
        <v>Decathlon</v>
      </c>
      <c r="F246" t="str">
        <f t="shared" ca="1" si="44"/>
        <v>Germany</v>
      </c>
      <c r="G246" t="str">
        <f t="shared" ca="1" si="45"/>
        <v>Berlin</v>
      </c>
      <c r="H246" t="str">
        <f t="shared" ca="1" si="46"/>
        <v>Road</v>
      </c>
      <c r="I246" t="str">
        <f t="shared" ca="1" si="47"/>
        <v>FedEx</v>
      </c>
      <c r="J246" t="s">
        <v>316</v>
      </c>
      <c r="K246">
        <f t="shared" ca="1" si="48"/>
        <v>1652</v>
      </c>
      <c r="L246">
        <f t="shared" ca="1" si="49"/>
        <v>1255.52</v>
      </c>
      <c r="M246">
        <f t="shared" ca="1" si="50"/>
        <v>2232</v>
      </c>
      <c r="N246">
        <f t="shared" ca="1" si="51"/>
        <v>762</v>
      </c>
      <c r="O246">
        <f ca="1">Table2[[#This Row],[Delivery Date]]-Table2[[#This Row],[Order date]]</f>
        <v>2</v>
      </c>
      <c r="P246">
        <f ca="1">MAX(0,Table2[[#This Row],[Delivery Date]]-Table2[[#This Row],[Planned Delivery Date]])</f>
        <v>0</v>
      </c>
      <c r="Q246" t="str">
        <f ca="1">IF(Table2[[#This Row],[Delivery Date]]&lt;=Table2[[#This Row],[Planned Delivery Date]],"On Time","Delayed")</f>
        <v>On Time</v>
      </c>
      <c r="R246">
        <f ca="1">Table2[[#This Row],[Revenue]]-Table2[[#This Row],[Transport Cost]]</f>
        <v>396.48</v>
      </c>
      <c r="S246" s="4">
        <f t="shared" ca="1" si="39"/>
        <v>0.24000000000000002</v>
      </c>
    </row>
    <row r="247" spans="1:19" x14ac:dyDescent="0.2">
      <c r="A247" t="s">
        <v>261</v>
      </c>
      <c r="B247" s="1">
        <f t="shared" ca="1" si="40"/>
        <v>46158</v>
      </c>
      <c r="C247" s="1">
        <f t="shared" ca="1" si="41"/>
        <v>46164</v>
      </c>
      <c r="D247" s="1">
        <f t="shared" ca="1" si="42"/>
        <v>46163</v>
      </c>
      <c r="E247" t="str">
        <f t="shared" ca="1" si="43"/>
        <v>Allegro</v>
      </c>
      <c r="F247" t="str">
        <f t="shared" ca="1" si="44"/>
        <v>Germany</v>
      </c>
      <c r="G247" t="str">
        <f t="shared" ca="1" si="45"/>
        <v>Berlin</v>
      </c>
      <c r="H247" t="str">
        <f t="shared" ca="1" si="46"/>
        <v>Rail</v>
      </c>
      <c r="I247" t="str">
        <f t="shared" ca="1" si="47"/>
        <v>Kuehne+Nagel</v>
      </c>
      <c r="J247" t="s">
        <v>316</v>
      </c>
      <c r="K247">
        <f t="shared" ca="1" si="48"/>
        <v>1827</v>
      </c>
      <c r="L247">
        <f t="shared" ca="1" si="49"/>
        <v>1096.2</v>
      </c>
      <c r="M247">
        <f t="shared" ca="1" si="50"/>
        <v>8870</v>
      </c>
      <c r="N247">
        <f t="shared" ca="1" si="51"/>
        <v>580</v>
      </c>
      <c r="O247">
        <f ca="1">Table2[[#This Row],[Delivery Date]]-Table2[[#This Row],[Order date]]</f>
        <v>5</v>
      </c>
      <c r="P247">
        <f ca="1">MAX(0,Table2[[#This Row],[Delivery Date]]-Table2[[#This Row],[Planned Delivery Date]])</f>
        <v>0</v>
      </c>
      <c r="Q247" t="str">
        <f ca="1">IF(Table2[[#This Row],[Delivery Date]]&lt;=Table2[[#This Row],[Planned Delivery Date]],"On Time","Delayed")</f>
        <v>On Time</v>
      </c>
      <c r="R247">
        <f ca="1">Table2[[#This Row],[Revenue]]-Table2[[#This Row],[Transport Cost]]</f>
        <v>730.8</v>
      </c>
      <c r="S247" s="4">
        <f t="shared" ca="1" si="39"/>
        <v>0.39999999999999997</v>
      </c>
    </row>
    <row r="248" spans="1:19" x14ac:dyDescent="0.2">
      <c r="A248" t="s">
        <v>262</v>
      </c>
      <c r="B248" s="1">
        <f t="shared" ca="1" si="40"/>
        <v>46053</v>
      </c>
      <c r="C248" s="1">
        <f t="shared" ca="1" si="41"/>
        <v>46061</v>
      </c>
      <c r="D248" s="1">
        <f t="shared" ca="1" si="42"/>
        <v>46064</v>
      </c>
      <c r="E248" t="str">
        <f t="shared" ca="1" si="43"/>
        <v>Philips</v>
      </c>
      <c r="F248" t="str">
        <f t="shared" ca="1" si="44"/>
        <v>Poland</v>
      </c>
      <c r="G248" t="str">
        <f t="shared" ca="1" si="45"/>
        <v>Warsaw</v>
      </c>
      <c r="H248" t="str">
        <f t="shared" ca="1" si="46"/>
        <v>Road</v>
      </c>
      <c r="I248" t="str">
        <f t="shared" ca="1" si="47"/>
        <v>GLS</v>
      </c>
      <c r="J248" t="s">
        <v>316</v>
      </c>
      <c r="K248">
        <f t="shared" ca="1" si="48"/>
        <v>1732</v>
      </c>
      <c r="L248">
        <f t="shared" ca="1" si="49"/>
        <v>1195.08</v>
      </c>
      <c r="M248">
        <f t="shared" ca="1" si="50"/>
        <v>3504</v>
      </c>
      <c r="N248">
        <f t="shared" ca="1" si="51"/>
        <v>158</v>
      </c>
      <c r="O248">
        <f ca="1">Table2[[#This Row],[Delivery Date]]-Table2[[#This Row],[Order date]]</f>
        <v>11</v>
      </c>
      <c r="P248">
        <f ca="1">MAX(0,Table2[[#This Row],[Delivery Date]]-Table2[[#This Row],[Planned Delivery Date]])</f>
        <v>3</v>
      </c>
      <c r="Q248" t="str">
        <f ca="1">IF(Table2[[#This Row],[Delivery Date]]&lt;=Table2[[#This Row],[Planned Delivery Date]],"On Time","Delayed")</f>
        <v>Delayed</v>
      </c>
      <c r="R248">
        <f ca="1">Table2[[#This Row],[Revenue]]-Table2[[#This Row],[Transport Cost]]</f>
        <v>536.92000000000007</v>
      </c>
      <c r="S248" s="4">
        <f t="shared" ca="1" si="39"/>
        <v>0.31000000000000005</v>
      </c>
    </row>
    <row r="249" spans="1:19" x14ac:dyDescent="0.2">
      <c r="A249" t="s">
        <v>263</v>
      </c>
      <c r="B249" s="1">
        <f t="shared" ca="1" si="40"/>
        <v>46046</v>
      </c>
      <c r="C249" s="1">
        <f t="shared" ca="1" si="41"/>
        <v>46056</v>
      </c>
      <c r="D249" s="1">
        <f t="shared" ca="1" si="42"/>
        <v>46056</v>
      </c>
      <c r="E249" t="str">
        <f t="shared" ca="1" si="43"/>
        <v>IKEA</v>
      </c>
      <c r="F249" t="str">
        <f t="shared" ca="1" si="44"/>
        <v>France</v>
      </c>
      <c r="G249" t="str">
        <f t="shared" ca="1" si="45"/>
        <v>Paris</v>
      </c>
      <c r="H249" t="str">
        <f t="shared" ca="1" si="46"/>
        <v>Rail</v>
      </c>
      <c r="I249" t="str">
        <f t="shared" ca="1" si="47"/>
        <v>DB Schenker</v>
      </c>
      <c r="J249" t="s">
        <v>316</v>
      </c>
      <c r="K249">
        <f t="shared" ca="1" si="48"/>
        <v>1626</v>
      </c>
      <c r="L249">
        <f t="shared" ca="1" si="49"/>
        <v>1089.42</v>
      </c>
      <c r="M249">
        <f t="shared" ca="1" si="50"/>
        <v>5047</v>
      </c>
      <c r="N249">
        <f t="shared" ca="1" si="51"/>
        <v>1692</v>
      </c>
      <c r="O249">
        <f ca="1">Table2[[#This Row],[Delivery Date]]-Table2[[#This Row],[Order date]]</f>
        <v>10</v>
      </c>
      <c r="P249">
        <f ca="1">MAX(0,Table2[[#This Row],[Delivery Date]]-Table2[[#This Row],[Planned Delivery Date]])</f>
        <v>0</v>
      </c>
      <c r="Q249" t="str">
        <f ca="1">IF(Table2[[#This Row],[Delivery Date]]&lt;=Table2[[#This Row],[Planned Delivery Date]],"On Time","Delayed")</f>
        <v>On Time</v>
      </c>
      <c r="R249">
        <f ca="1">Table2[[#This Row],[Revenue]]-Table2[[#This Row],[Transport Cost]]</f>
        <v>536.57999999999993</v>
      </c>
      <c r="S249" s="4">
        <f t="shared" ca="1" si="39"/>
        <v>0.32999999999999996</v>
      </c>
    </row>
    <row r="250" spans="1:19" x14ac:dyDescent="0.2">
      <c r="A250" t="s">
        <v>264</v>
      </c>
      <c r="B250" s="1">
        <f t="shared" ca="1" si="40"/>
        <v>46066</v>
      </c>
      <c r="C250" s="1">
        <f t="shared" ca="1" si="41"/>
        <v>46075</v>
      </c>
      <c r="D250" s="1">
        <f t="shared" ca="1" si="42"/>
        <v>46077</v>
      </c>
      <c r="E250" t="str">
        <f t="shared" ca="1" si="43"/>
        <v>H&amp;M</v>
      </c>
      <c r="F250" t="str">
        <f t="shared" ca="1" si="44"/>
        <v>Italy</v>
      </c>
      <c r="G250" t="str">
        <f t="shared" ca="1" si="45"/>
        <v>Milan</v>
      </c>
      <c r="H250" t="str">
        <f t="shared" ca="1" si="46"/>
        <v>Rail</v>
      </c>
      <c r="I250" t="str">
        <f t="shared" ca="1" si="47"/>
        <v>DB Schenker</v>
      </c>
      <c r="J250" t="s">
        <v>316</v>
      </c>
      <c r="K250">
        <f t="shared" ca="1" si="48"/>
        <v>864</v>
      </c>
      <c r="L250">
        <f t="shared" ca="1" si="49"/>
        <v>518.4</v>
      </c>
      <c r="M250">
        <f t="shared" ca="1" si="50"/>
        <v>6956</v>
      </c>
      <c r="N250">
        <f t="shared" ca="1" si="51"/>
        <v>1624</v>
      </c>
      <c r="O250">
        <f ca="1">Table2[[#This Row],[Delivery Date]]-Table2[[#This Row],[Order date]]</f>
        <v>11</v>
      </c>
      <c r="P250">
        <f ca="1">MAX(0,Table2[[#This Row],[Delivery Date]]-Table2[[#This Row],[Planned Delivery Date]])</f>
        <v>2</v>
      </c>
      <c r="Q250" t="str">
        <f ca="1">IF(Table2[[#This Row],[Delivery Date]]&lt;=Table2[[#This Row],[Planned Delivery Date]],"On Time","Delayed")</f>
        <v>Delayed</v>
      </c>
      <c r="R250">
        <f ca="1">Table2[[#This Row],[Revenue]]-Table2[[#This Row],[Transport Cost]]</f>
        <v>345.6</v>
      </c>
      <c r="S250" s="4">
        <f t="shared" ca="1" si="39"/>
        <v>0.4</v>
      </c>
    </row>
    <row r="251" spans="1:19" x14ac:dyDescent="0.2">
      <c r="A251" t="s">
        <v>265</v>
      </c>
      <c r="B251" s="1">
        <f t="shared" ca="1" si="40"/>
        <v>46188</v>
      </c>
      <c r="C251" s="1">
        <f t="shared" ca="1" si="41"/>
        <v>46193</v>
      </c>
      <c r="D251" s="1">
        <f t="shared" ca="1" si="42"/>
        <v>46194</v>
      </c>
      <c r="E251" t="str">
        <f t="shared" ca="1" si="43"/>
        <v>Decathlon</v>
      </c>
      <c r="F251" t="str">
        <f t="shared" ca="1" si="44"/>
        <v>France</v>
      </c>
      <c r="G251" t="str">
        <f t="shared" ca="1" si="45"/>
        <v>Paris</v>
      </c>
      <c r="H251" t="str">
        <f t="shared" ca="1" si="46"/>
        <v>Rail</v>
      </c>
      <c r="I251" t="str">
        <f t="shared" ca="1" si="47"/>
        <v>DB Schenker</v>
      </c>
      <c r="J251" t="s">
        <v>316</v>
      </c>
      <c r="K251">
        <f t="shared" ca="1" si="48"/>
        <v>1410</v>
      </c>
      <c r="L251">
        <f t="shared" ca="1" si="49"/>
        <v>860.1</v>
      </c>
      <c r="M251">
        <f t="shared" ca="1" si="50"/>
        <v>8471</v>
      </c>
      <c r="N251">
        <f t="shared" ca="1" si="51"/>
        <v>1517</v>
      </c>
      <c r="O251">
        <f ca="1">Table2[[#This Row],[Delivery Date]]-Table2[[#This Row],[Order date]]</f>
        <v>6</v>
      </c>
      <c r="P251">
        <f ca="1">MAX(0,Table2[[#This Row],[Delivery Date]]-Table2[[#This Row],[Planned Delivery Date]])</f>
        <v>1</v>
      </c>
      <c r="Q251" t="str">
        <f ca="1">IF(Table2[[#This Row],[Delivery Date]]&lt;=Table2[[#This Row],[Planned Delivery Date]],"On Time","Delayed")</f>
        <v>Delayed</v>
      </c>
      <c r="R251">
        <f ca="1">Table2[[#This Row],[Revenue]]-Table2[[#This Row],[Transport Cost]]</f>
        <v>549.9</v>
      </c>
      <c r="S251" s="4">
        <f t="shared" ca="1" si="39"/>
        <v>0.38999999999999996</v>
      </c>
    </row>
    <row r="252" spans="1:19" x14ac:dyDescent="0.2">
      <c r="A252" t="s">
        <v>266</v>
      </c>
      <c r="B252" s="1">
        <f t="shared" ca="1" si="40"/>
        <v>46141</v>
      </c>
      <c r="C252" s="1">
        <f t="shared" ca="1" si="41"/>
        <v>46149</v>
      </c>
      <c r="D252" s="1">
        <f t="shared" ca="1" si="42"/>
        <v>46148</v>
      </c>
      <c r="E252" t="str">
        <f t="shared" ca="1" si="43"/>
        <v>IKEA</v>
      </c>
      <c r="F252" t="str">
        <f t="shared" ca="1" si="44"/>
        <v>France</v>
      </c>
      <c r="G252" t="str">
        <f t="shared" ca="1" si="45"/>
        <v>Lyon</v>
      </c>
      <c r="H252" t="str">
        <f t="shared" ca="1" si="46"/>
        <v>Rail</v>
      </c>
      <c r="I252" t="str">
        <f t="shared" ca="1" si="47"/>
        <v>Kuehne+Nagel</v>
      </c>
      <c r="J252" t="s">
        <v>316</v>
      </c>
      <c r="K252">
        <f t="shared" ca="1" si="48"/>
        <v>2239</v>
      </c>
      <c r="L252">
        <f t="shared" ca="1" si="49"/>
        <v>1679.25</v>
      </c>
      <c r="M252">
        <f t="shared" ca="1" si="50"/>
        <v>1727</v>
      </c>
      <c r="N252">
        <f t="shared" ca="1" si="51"/>
        <v>1284</v>
      </c>
      <c r="O252">
        <f ca="1">Table2[[#This Row],[Delivery Date]]-Table2[[#This Row],[Order date]]</f>
        <v>7</v>
      </c>
      <c r="P252">
        <f ca="1">MAX(0,Table2[[#This Row],[Delivery Date]]-Table2[[#This Row],[Planned Delivery Date]])</f>
        <v>0</v>
      </c>
      <c r="Q252" t="str">
        <f ca="1">IF(Table2[[#This Row],[Delivery Date]]&lt;=Table2[[#This Row],[Planned Delivery Date]],"On Time","Delayed")</f>
        <v>On Time</v>
      </c>
      <c r="R252">
        <f ca="1">Table2[[#This Row],[Revenue]]-Table2[[#This Row],[Transport Cost]]</f>
        <v>559.75</v>
      </c>
      <c r="S252" s="4">
        <f t="shared" ca="1" si="39"/>
        <v>0.25</v>
      </c>
    </row>
    <row r="253" spans="1:19" x14ac:dyDescent="0.2">
      <c r="A253" t="s">
        <v>267</v>
      </c>
      <c r="B253" s="1">
        <f t="shared" ca="1" si="40"/>
        <v>46137</v>
      </c>
      <c r="C253" s="1">
        <f t="shared" ca="1" si="41"/>
        <v>46142</v>
      </c>
      <c r="D253" s="1">
        <f t="shared" ca="1" si="42"/>
        <v>46144</v>
      </c>
      <c r="E253" t="str">
        <f t="shared" ca="1" si="43"/>
        <v>Bosch</v>
      </c>
      <c r="F253" t="str">
        <f t="shared" ca="1" si="44"/>
        <v>Czech Republic</v>
      </c>
      <c r="G253" t="str">
        <f t="shared" ca="1" si="45"/>
        <v>Prague</v>
      </c>
      <c r="H253" t="str">
        <f t="shared" ca="1" si="46"/>
        <v>Sea</v>
      </c>
      <c r="I253" t="str">
        <f t="shared" ca="1" si="47"/>
        <v>Maersk</v>
      </c>
      <c r="J253" t="s">
        <v>316</v>
      </c>
      <c r="K253">
        <f t="shared" ca="1" si="48"/>
        <v>1775</v>
      </c>
      <c r="L253">
        <f t="shared" ca="1" si="49"/>
        <v>1331.25</v>
      </c>
      <c r="M253">
        <f t="shared" ca="1" si="50"/>
        <v>14197</v>
      </c>
      <c r="N253">
        <f t="shared" ca="1" si="51"/>
        <v>562</v>
      </c>
      <c r="O253">
        <f ca="1">Table2[[#This Row],[Delivery Date]]-Table2[[#This Row],[Order date]]</f>
        <v>7</v>
      </c>
      <c r="P253">
        <f ca="1">MAX(0,Table2[[#This Row],[Delivery Date]]-Table2[[#This Row],[Planned Delivery Date]])</f>
        <v>2</v>
      </c>
      <c r="Q253" t="str">
        <f ca="1">IF(Table2[[#This Row],[Delivery Date]]&lt;=Table2[[#This Row],[Planned Delivery Date]],"On Time","Delayed")</f>
        <v>Delayed</v>
      </c>
      <c r="R253">
        <f ca="1">Table2[[#This Row],[Revenue]]-Table2[[#This Row],[Transport Cost]]</f>
        <v>443.75</v>
      </c>
      <c r="S253" s="4">
        <f t="shared" ca="1" si="39"/>
        <v>0.25</v>
      </c>
    </row>
    <row r="254" spans="1:19" x14ac:dyDescent="0.2">
      <c r="A254" t="s">
        <v>268</v>
      </c>
      <c r="B254" s="1">
        <f t="shared" ca="1" si="40"/>
        <v>46158</v>
      </c>
      <c r="C254" s="1">
        <f t="shared" ca="1" si="41"/>
        <v>46167</v>
      </c>
      <c r="D254" s="1">
        <f t="shared" ca="1" si="42"/>
        <v>46168</v>
      </c>
      <c r="E254" t="str">
        <f t="shared" ca="1" si="43"/>
        <v>H&amp;M</v>
      </c>
      <c r="F254" t="str">
        <f t="shared" ca="1" si="44"/>
        <v>France</v>
      </c>
      <c r="G254" t="str">
        <f t="shared" ca="1" si="45"/>
        <v>Paris</v>
      </c>
      <c r="H254" t="str">
        <f t="shared" ca="1" si="46"/>
        <v>Air</v>
      </c>
      <c r="I254" t="str">
        <f t="shared" ca="1" si="47"/>
        <v>DHL</v>
      </c>
      <c r="J254" t="s">
        <v>316</v>
      </c>
      <c r="K254">
        <f t="shared" ca="1" si="48"/>
        <v>4745</v>
      </c>
      <c r="L254">
        <f t="shared" ca="1" si="49"/>
        <v>3985.8</v>
      </c>
      <c r="M254">
        <f t="shared" ca="1" si="50"/>
        <v>585</v>
      </c>
      <c r="N254">
        <f t="shared" ca="1" si="51"/>
        <v>1641</v>
      </c>
      <c r="O254">
        <f ca="1">Table2[[#This Row],[Delivery Date]]-Table2[[#This Row],[Order date]]</f>
        <v>10</v>
      </c>
      <c r="P254">
        <f ca="1">MAX(0,Table2[[#This Row],[Delivery Date]]-Table2[[#This Row],[Planned Delivery Date]])</f>
        <v>1</v>
      </c>
      <c r="Q254" t="str">
        <f ca="1">IF(Table2[[#This Row],[Delivery Date]]&lt;=Table2[[#This Row],[Planned Delivery Date]],"On Time","Delayed")</f>
        <v>Delayed</v>
      </c>
      <c r="R254">
        <f ca="1">Table2[[#This Row],[Revenue]]-Table2[[#This Row],[Transport Cost]]</f>
        <v>759.19999999999982</v>
      </c>
      <c r="S254" s="4">
        <f t="shared" ca="1" si="39"/>
        <v>0.15999999999999995</v>
      </c>
    </row>
    <row r="255" spans="1:19" x14ac:dyDescent="0.2">
      <c r="A255" t="s">
        <v>269</v>
      </c>
      <c r="B255" s="1">
        <f t="shared" ca="1" si="40"/>
        <v>46072</v>
      </c>
      <c r="C255" s="1">
        <f t="shared" ca="1" si="41"/>
        <v>46076</v>
      </c>
      <c r="D255" s="1">
        <f t="shared" ca="1" si="42"/>
        <v>46081</v>
      </c>
      <c r="E255" t="str">
        <f t="shared" ca="1" si="43"/>
        <v>Samsung</v>
      </c>
      <c r="F255" t="str">
        <f t="shared" ca="1" si="44"/>
        <v>Germany</v>
      </c>
      <c r="G255" t="str">
        <f t="shared" ca="1" si="45"/>
        <v>Munich</v>
      </c>
      <c r="H255" t="str">
        <f t="shared" ca="1" si="46"/>
        <v>Rail</v>
      </c>
      <c r="I255" t="str">
        <f t="shared" ca="1" si="47"/>
        <v>Kuehne+Nagel</v>
      </c>
      <c r="J255" t="s">
        <v>316</v>
      </c>
      <c r="K255">
        <f t="shared" ca="1" si="48"/>
        <v>2730</v>
      </c>
      <c r="L255">
        <f t="shared" ca="1" si="49"/>
        <v>2156.6999999999998</v>
      </c>
      <c r="M255">
        <f t="shared" ca="1" si="50"/>
        <v>8621</v>
      </c>
      <c r="N255">
        <f t="shared" ca="1" si="51"/>
        <v>661</v>
      </c>
      <c r="O255">
        <f ca="1">Table2[[#This Row],[Delivery Date]]-Table2[[#This Row],[Order date]]</f>
        <v>9</v>
      </c>
      <c r="P255">
        <f ca="1">MAX(0,Table2[[#This Row],[Delivery Date]]-Table2[[#This Row],[Planned Delivery Date]])</f>
        <v>5</v>
      </c>
      <c r="Q255" t="str">
        <f ca="1">IF(Table2[[#This Row],[Delivery Date]]&lt;=Table2[[#This Row],[Planned Delivery Date]],"On Time","Delayed")</f>
        <v>Delayed</v>
      </c>
      <c r="R255">
        <f ca="1">Table2[[#This Row],[Revenue]]-Table2[[#This Row],[Transport Cost]]</f>
        <v>573.30000000000018</v>
      </c>
      <c r="S255" s="4">
        <f t="shared" ca="1" si="39"/>
        <v>0.21000000000000008</v>
      </c>
    </row>
    <row r="256" spans="1:19" x14ac:dyDescent="0.2">
      <c r="A256" t="s">
        <v>270</v>
      </c>
      <c r="B256" s="1">
        <f t="shared" ca="1" si="40"/>
        <v>46086</v>
      </c>
      <c r="C256" s="1">
        <f t="shared" ca="1" si="41"/>
        <v>46096</v>
      </c>
      <c r="D256" s="1">
        <f t="shared" ca="1" si="42"/>
        <v>46101</v>
      </c>
      <c r="E256" t="str">
        <f t="shared" ca="1" si="43"/>
        <v>Allegro</v>
      </c>
      <c r="F256" t="str">
        <f t="shared" ca="1" si="44"/>
        <v>Germany</v>
      </c>
      <c r="G256" t="str">
        <f t="shared" ca="1" si="45"/>
        <v>Berlin</v>
      </c>
      <c r="H256" t="str">
        <f t="shared" ca="1" si="46"/>
        <v>Road</v>
      </c>
      <c r="I256" t="str">
        <f t="shared" ca="1" si="47"/>
        <v>FedEx</v>
      </c>
      <c r="J256" t="s">
        <v>316</v>
      </c>
      <c r="K256">
        <f t="shared" ca="1" si="48"/>
        <v>2149</v>
      </c>
      <c r="L256">
        <f t="shared" ca="1" si="49"/>
        <v>1396.85</v>
      </c>
      <c r="M256">
        <f t="shared" ca="1" si="50"/>
        <v>4585</v>
      </c>
      <c r="N256">
        <f t="shared" ca="1" si="51"/>
        <v>1085</v>
      </c>
      <c r="O256">
        <f ca="1">Table2[[#This Row],[Delivery Date]]-Table2[[#This Row],[Order date]]</f>
        <v>15</v>
      </c>
      <c r="P256">
        <f ca="1">MAX(0,Table2[[#This Row],[Delivery Date]]-Table2[[#This Row],[Planned Delivery Date]])</f>
        <v>5</v>
      </c>
      <c r="Q256" t="str">
        <f ca="1">IF(Table2[[#This Row],[Delivery Date]]&lt;=Table2[[#This Row],[Planned Delivery Date]],"On Time","Delayed")</f>
        <v>Delayed</v>
      </c>
      <c r="R256">
        <f ca="1">Table2[[#This Row],[Revenue]]-Table2[[#This Row],[Transport Cost]]</f>
        <v>752.15000000000009</v>
      </c>
      <c r="S256" s="4">
        <f t="shared" ca="1" si="39"/>
        <v>0.35000000000000003</v>
      </c>
    </row>
    <row r="257" spans="1:19" x14ac:dyDescent="0.2">
      <c r="A257" t="s">
        <v>271</v>
      </c>
      <c r="B257" s="1">
        <f t="shared" ca="1" si="40"/>
        <v>46131</v>
      </c>
      <c r="C257" s="1">
        <f t="shared" ca="1" si="41"/>
        <v>46138</v>
      </c>
      <c r="D257" s="1">
        <f t="shared" ca="1" si="42"/>
        <v>46140</v>
      </c>
      <c r="E257" t="str">
        <f t="shared" ca="1" si="43"/>
        <v>Decathlon</v>
      </c>
      <c r="F257" t="str">
        <f t="shared" ca="1" si="44"/>
        <v>Italy</v>
      </c>
      <c r="G257" t="str">
        <f t="shared" ca="1" si="45"/>
        <v>Rome</v>
      </c>
      <c r="H257" t="str">
        <f t="shared" ca="1" si="46"/>
        <v>Road</v>
      </c>
      <c r="I257" t="str">
        <f t="shared" ca="1" si="47"/>
        <v>FedEx</v>
      </c>
      <c r="J257" t="s">
        <v>316</v>
      </c>
      <c r="K257">
        <f t="shared" ca="1" si="48"/>
        <v>1950</v>
      </c>
      <c r="L257">
        <f t="shared" ca="1" si="49"/>
        <v>1072.5</v>
      </c>
      <c r="M257">
        <f t="shared" ca="1" si="50"/>
        <v>1904</v>
      </c>
      <c r="N257">
        <f t="shared" ca="1" si="51"/>
        <v>1426</v>
      </c>
      <c r="O257">
        <f ca="1">Table2[[#This Row],[Delivery Date]]-Table2[[#This Row],[Order date]]</f>
        <v>9</v>
      </c>
      <c r="P257">
        <f ca="1">MAX(0,Table2[[#This Row],[Delivery Date]]-Table2[[#This Row],[Planned Delivery Date]])</f>
        <v>2</v>
      </c>
      <c r="Q257" t="str">
        <f ca="1">IF(Table2[[#This Row],[Delivery Date]]&lt;=Table2[[#This Row],[Planned Delivery Date]],"On Time","Delayed")</f>
        <v>Delayed</v>
      </c>
      <c r="R257">
        <f ca="1">Table2[[#This Row],[Revenue]]-Table2[[#This Row],[Transport Cost]]</f>
        <v>877.5</v>
      </c>
      <c r="S257" s="4">
        <f t="shared" ca="1" si="39"/>
        <v>0.45</v>
      </c>
    </row>
    <row r="258" spans="1:19" x14ac:dyDescent="0.2">
      <c r="A258" t="s">
        <v>272</v>
      </c>
      <c r="B258" s="1">
        <f t="shared" ca="1" si="40"/>
        <v>46043</v>
      </c>
      <c r="C258" s="1">
        <f t="shared" ca="1" si="41"/>
        <v>46051</v>
      </c>
      <c r="D258" s="1">
        <f t="shared" ca="1" si="42"/>
        <v>46051</v>
      </c>
      <c r="E258" t="str">
        <f t="shared" ca="1" si="43"/>
        <v>Zara</v>
      </c>
      <c r="F258" t="str">
        <f t="shared" ca="1" si="44"/>
        <v>Italy</v>
      </c>
      <c r="G258" t="str">
        <f t="shared" ca="1" si="45"/>
        <v>Rome</v>
      </c>
      <c r="H258" t="str">
        <f t="shared" ca="1" si="46"/>
        <v>Road</v>
      </c>
      <c r="I258" t="str">
        <f t="shared" ca="1" si="47"/>
        <v>DB Schenker</v>
      </c>
      <c r="J258" t="s">
        <v>316</v>
      </c>
      <c r="K258">
        <f t="shared" ca="1" si="48"/>
        <v>2258</v>
      </c>
      <c r="L258">
        <f t="shared" ca="1" si="49"/>
        <v>1241.9000000000001</v>
      </c>
      <c r="M258">
        <f t="shared" ca="1" si="50"/>
        <v>1894</v>
      </c>
      <c r="N258">
        <f t="shared" ca="1" si="51"/>
        <v>1814</v>
      </c>
      <c r="O258">
        <f ca="1">Table2[[#This Row],[Delivery Date]]-Table2[[#This Row],[Order date]]</f>
        <v>8</v>
      </c>
      <c r="P258">
        <f ca="1">MAX(0,Table2[[#This Row],[Delivery Date]]-Table2[[#This Row],[Planned Delivery Date]])</f>
        <v>0</v>
      </c>
      <c r="Q258" t="str">
        <f ca="1">IF(Table2[[#This Row],[Delivery Date]]&lt;=Table2[[#This Row],[Planned Delivery Date]],"On Time","Delayed")</f>
        <v>On Time</v>
      </c>
      <c r="R258">
        <f ca="1">Table2[[#This Row],[Revenue]]-Table2[[#This Row],[Transport Cost]]</f>
        <v>1016.0999999999999</v>
      </c>
      <c r="S258" s="4">
        <f t="shared" ref="S258:S301" ca="1" si="52">IFERROR(R258/K258,0)</f>
        <v>0.44999999999999996</v>
      </c>
    </row>
    <row r="259" spans="1:19" x14ac:dyDescent="0.2">
      <c r="A259" t="s">
        <v>273</v>
      </c>
      <c r="B259" s="1">
        <f t="shared" ref="B259:C301" ca="1" si="53">DATE(2026,1,1)+RANDBETWEEN(0,180)</f>
        <v>46077</v>
      </c>
      <c r="C259" s="1">
        <f t="shared" ref="C259:C301" ca="1" si="54">B259+RANDBETWEEN(2,10)</f>
        <v>46083</v>
      </c>
      <c r="D259" s="1">
        <f t="shared" ref="D259:D301" ca="1" si="55">C259+RANDBETWEEN(-1,5)</f>
        <v>46088</v>
      </c>
      <c r="E259" t="str">
        <f t="shared" ref="E259:E301" ca="1" si="56">CHOOSE(RANDBETWEEN(1,8), "IKEA", "Samsung", "Zara", "Allegro", "Bosch", "Decathlon", "H&amp;M", "Philips")</f>
        <v>H&amp;M</v>
      </c>
      <c r="F259" t="str">
        <f t="shared" ref="F259:F301" ca="1" si="57">CHOOSE(RANDBETWEEN(1,6), "Poland", "Germany", "France", "Czech Republic", "Spain", "Italy")</f>
        <v>Czech Republic</v>
      </c>
      <c r="G259" t="str">
        <f t="shared" ref="G259:G301" ca="1" si="58">IF(F259="Poland",CHOOSE(RANDBETWEEN(1,3),"Warsaw","Krakow","Gdansk"),
IF(F259="Germany",CHOOSE(RANDBETWEEN(1,3),"Berlin","Hamburg","Munich"),
IF(F259="Czech Republic","Prague",
IF(F259="Netherlands","Amsterdam",
IF(F259="France",CHOOSE(RANDBETWEEN(1,2),"Paris","Lyon"),
IF(F259="Spain",CHOOSE(RANDBETWEEN(1,2),"Madrid","Barcelona"),
IF(F259="Italy",CHOOSE(RANDBETWEEN(1,2),"Rome","Milan"),"")))))))</f>
        <v>Prague</v>
      </c>
      <c r="H259" t="str">
        <f t="shared" ref="H259:H301" ca="1" si="59">CHOOSE(RANDBETWEEN(1,4), "Road", "Air", "Sea", "Rail")</f>
        <v>Road</v>
      </c>
      <c r="I259" t="str">
        <f t="shared" ref="I259:I301" ca="1" si="60">IF(H259="Sea",CHOOSE(RANDBETWEEN(1,2),"Maersk","Kuehne+Nagel"),
IF(H259="Air",CHOOSE(RANDBETWEEN(1,3),"DHL","UPS","FedEx"),
IF(H259="Rail",CHOOSE(RANDBETWEEN(1,2),"DB Schenker","Kuehne+Nagel"),
IF(H259="Road",CHOOSE(RANDBETWEEN(1,5),"DHL","DB Schenker","UPS","FedEx","GLS"),""))))</f>
        <v>DB Schenker</v>
      </c>
      <c r="J259" t="s">
        <v>316</v>
      </c>
      <c r="K259">
        <f t="shared" ref="K259:K301" ca="1" si="61">IF(H259="Road",RANDBETWEEN(500,2500),IF(H259="Rail",RANDBETWEEN(800,3000),IF(H259="Sea",RANDBETWEEN(1500,5000),IF(H259="Air",RANDBETWEEN(2000,6000),""))))</f>
        <v>2280</v>
      </c>
      <c r="L259">
        <f t="shared" ref="L259:L301" ca="1" si="62">K259*RANDBETWEEN(55,85)/100</f>
        <v>1755.6</v>
      </c>
      <c r="M259">
        <f t="shared" ref="M259:M301" ca="1" si="63">IF(H259="Air",RANDBETWEEN(50,800),IF(H259="Road",RANDBETWEEN(200,5000),IF(H259="Rail",RANDBETWEEN(1000,10000),IF(H259="Sea",RANDBETWEEN(2000,15000),""))))</f>
        <v>3448</v>
      </c>
      <c r="N259">
        <f t="shared" ref="N259:N301" ca="1" si="64">IF(F259="Poland",RANDBETWEEN(50,600),IF(F259="Germany",RANDBETWEEN(500,1200),IF(F259="Czech Republic",RANDBETWEEN(500,900),IF(F259="Netherlands",RANDBETWEEN(1000,1400),IF(F259="France",RANDBETWEEN(1200,1800),IF(F259="Spain",RANDBETWEEN(2000,2600),IF(F259="Italy",RANDBETWEEN(1200,2000),"")))))))</f>
        <v>623</v>
      </c>
      <c r="O259">
        <f ca="1">Table2[[#This Row],[Delivery Date]]-Table2[[#This Row],[Order date]]</f>
        <v>11</v>
      </c>
      <c r="P259">
        <f ca="1">MAX(0,Table2[[#This Row],[Delivery Date]]-Table2[[#This Row],[Planned Delivery Date]])</f>
        <v>5</v>
      </c>
      <c r="Q259" t="str">
        <f ca="1">IF(Table2[[#This Row],[Delivery Date]]&lt;=Table2[[#This Row],[Planned Delivery Date]],"On Time","Delayed")</f>
        <v>Delayed</v>
      </c>
      <c r="R259">
        <f ca="1">Table2[[#This Row],[Revenue]]-Table2[[#This Row],[Transport Cost]]</f>
        <v>524.40000000000009</v>
      </c>
      <c r="S259" s="4">
        <f t="shared" ca="1" si="52"/>
        <v>0.23000000000000004</v>
      </c>
    </row>
    <row r="260" spans="1:19" x14ac:dyDescent="0.2">
      <c r="A260" t="s">
        <v>274</v>
      </c>
      <c r="B260" s="1">
        <f t="shared" ca="1" si="53"/>
        <v>46055</v>
      </c>
      <c r="C260" s="1">
        <f t="shared" ca="1" si="54"/>
        <v>46058</v>
      </c>
      <c r="D260" s="1">
        <f t="shared" ca="1" si="55"/>
        <v>46062</v>
      </c>
      <c r="E260" t="str">
        <f t="shared" ca="1" si="56"/>
        <v>Decathlon</v>
      </c>
      <c r="F260" t="str">
        <f t="shared" ca="1" si="57"/>
        <v>Italy</v>
      </c>
      <c r="G260" t="str">
        <f t="shared" ca="1" si="58"/>
        <v>Rome</v>
      </c>
      <c r="H260" t="str">
        <f t="shared" ca="1" si="59"/>
        <v>Rail</v>
      </c>
      <c r="I260" t="str">
        <f t="shared" ca="1" si="60"/>
        <v>DB Schenker</v>
      </c>
      <c r="J260" t="s">
        <v>316</v>
      </c>
      <c r="K260">
        <f t="shared" ca="1" si="61"/>
        <v>2256</v>
      </c>
      <c r="L260">
        <f t="shared" ca="1" si="62"/>
        <v>1624.32</v>
      </c>
      <c r="M260">
        <f t="shared" ca="1" si="63"/>
        <v>8629</v>
      </c>
      <c r="N260">
        <f t="shared" ca="1" si="64"/>
        <v>1425</v>
      </c>
      <c r="O260">
        <f ca="1">Table2[[#This Row],[Delivery Date]]-Table2[[#This Row],[Order date]]</f>
        <v>7</v>
      </c>
      <c r="P260">
        <f ca="1">MAX(0,Table2[[#This Row],[Delivery Date]]-Table2[[#This Row],[Planned Delivery Date]])</f>
        <v>4</v>
      </c>
      <c r="Q260" t="str">
        <f ca="1">IF(Table2[[#This Row],[Delivery Date]]&lt;=Table2[[#This Row],[Planned Delivery Date]],"On Time","Delayed")</f>
        <v>Delayed</v>
      </c>
      <c r="R260">
        <f ca="1">Table2[[#This Row],[Revenue]]-Table2[[#This Row],[Transport Cost]]</f>
        <v>631.68000000000006</v>
      </c>
      <c r="S260" s="4">
        <f t="shared" ca="1" si="52"/>
        <v>0.28000000000000003</v>
      </c>
    </row>
    <row r="261" spans="1:19" x14ac:dyDescent="0.2">
      <c r="A261" t="s">
        <v>275</v>
      </c>
      <c r="B261" s="1">
        <f t="shared" ca="1" si="53"/>
        <v>46139</v>
      </c>
      <c r="C261" s="1">
        <f t="shared" ca="1" si="54"/>
        <v>46149</v>
      </c>
      <c r="D261" s="1">
        <f t="shared" ca="1" si="55"/>
        <v>46151</v>
      </c>
      <c r="E261" t="str">
        <f t="shared" ca="1" si="56"/>
        <v>Allegro</v>
      </c>
      <c r="F261" t="str">
        <f t="shared" ca="1" si="57"/>
        <v>Czech Republic</v>
      </c>
      <c r="G261" t="str">
        <f t="shared" ca="1" si="58"/>
        <v>Prague</v>
      </c>
      <c r="H261" t="str">
        <f t="shared" ca="1" si="59"/>
        <v>Sea</v>
      </c>
      <c r="I261" t="str">
        <f t="shared" ca="1" si="60"/>
        <v>Kuehne+Nagel</v>
      </c>
      <c r="J261" t="s">
        <v>316</v>
      </c>
      <c r="K261">
        <f t="shared" ca="1" si="61"/>
        <v>4721</v>
      </c>
      <c r="L261">
        <f t="shared" ca="1" si="62"/>
        <v>3918.43</v>
      </c>
      <c r="M261">
        <f t="shared" ca="1" si="63"/>
        <v>13955</v>
      </c>
      <c r="N261">
        <f t="shared" ca="1" si="64"/>
        <v>625</v>
      </c>
      <c r="O261">
        <f ca="1">Table2[[#This Row],[Delivery Date]]-Table2[[#This Row],[Order date]]</f>
        <v>12</v>
      </c>
      <c r="P261">
        <f ca="1">MAX(0,Table2[[#This Row],[Delivery Date]]-Table2[[#This Row],[Planned Delivery Date]])</f>
        <v>2</v>
      </c>
      <c r="Q261" t="str">
        <f ca="1">IF(Table2[[#This Row],[Delivery Date]]&lt;=Table2[[#This Row],[Planned Delivery Date]],"On Time","Delayed")</f>
        <v>Delayed</v>
      </c>
      <c r="R261">
        <f ca="1">Table2[[#This Row],[Revenue]]-Table2[[#This Row],[Transport Cost]]</f>
        <v>802.57000000000016</v>
      </c>
      <c r="S261" s="4">
        <f t="shared" ca="1" si="52"/>
        <v>0.17000000000000004</v>
      </c>
    </row>
    <row r="262" spans="1:19" x14ac:dyDescent="0.2">
      <c r="A262" t="s">
        <v>276</v>
      </c>
      <c r="B262" s="1">
        <f t="shared" ca="1" si="53"/>
        <v>46096</v>
      </c>
      <c r="C262" s="1">
        <f t="shared" ca="1" si="54"/>
        <v>46099</v>
      </c>
      <c r="D262" s="1">
        <f t="shared" ca="1" si="55"/>
        <v>46101</v>
      </c>
      <c r="E262" t="str">
        <f t="shared" ca="1" si="56"/>
        <v>Zara</v>
      </c>
      <c r="F262" t="str">
        <f t="shared" ca="1" si="57"/>
        <v>France</v>
      </c>
      <c r="G262" t="str">
        <f t="shared" ca="1" si="58"/>
        <v>Lyon</v>
      </c>
      <c r="H262" t="str">
        <f t="shared" ca="1" si="59"/>
        <v>Sea</v>
      </c>
      <c r="I262" t="str">
        <f t="shared" ca="1" si="60"/>
        <v>Maersk</v>
      </c>
      <c r="J262" t="s">
        <v>316</v>
      </c>
      <c r="K262">
        <f t="shared" ca="1" si="61"/>
        <v>1542</v>
      </c>
      <c r="L262">
        <f t="shared" ca="1" si="62"/>
        <v>1156.5</v>
      </c>
      <c r="M262">
        <f t="shared" ca="1" si="63"/>
        <v>3158</v>
      </c>
      <c r="N262">
        <f t="shared" ca="1" si="64"/>
        <v>1566</v>
      </c>
      <c r="O262">
        <f ca="1">Table2[[#This Row],[Delivery Date]]-Table2[[#This Row],[Order date]]</f>
        <v>5</v>
      </c>
      <c r="P262">
        <f ca="1">MAX(0,Table2[[#This Row],[Delivery Date]]-Table2[[#This Row],[Planned Delivery Date]])</f>
        <v>2</v>
      </c>
      <c r="Q262" t="str">
        <f ca="1">IF(Table2[[#This Row],[Delivery Date]]&lt;=Table2[[#This Row],[Planned Delivery Date]],"On Time","Delayed")</f>
        <v>Delayed</v>
      </c>
      <c r="R262">
        <f ca="1">Table2[[#This Row],[Revenue]]-Table2[[#This Row],[Transport Cost]]</f>
        <v>385.5</v>
      </c>
      <c r="S262" s="4">
        <f t="shared" ca="1" si="52"/>
        <v>0.25</v>
      </c>
    </row>
    <row r="263" spans="1:19" x14ac:dyDescent="0.2">
      <c r="A263" t="s">
        <v>277</v>
      </c>
      <c r="B263" s="1">
        <f t="shared" ca="1" si="53"/>
        <v>46023</v>
      </c>
      <c r="C263" s="1">
        <f t="shared" ca="1" si="54"/>
        <v>46025</v>
      </c>
      <c r="D263" s="1">
        <f t="shared" ca="1" si="55"/>
        <v>46030</v>
      </c>
      <c r="E263" t="str">
        <f t="shared" ca="1" si="56"/>
        <v>Zara</v>
      </c>
      <c r="F263" t="str">
        <f t="shared" ca="1" si="57"/>
        <v>Germany</v>
      </c>
      <c r="G263" t="str">
        <f t="shared" ca="1" si="58"/>
        <v>Munich</v>
      </c>
      <c r="H263" t="str">
        <f t="shared" ca="1" si="59"/>
        <v>Sea</v>
      </c>
      <c r="I263" t="str">
        <f t="shared" ca="1" si="60"/>
        <v>Maersk</v>
      </c>
      <c r="J263" t="s">
        <v>316</v>
      </c>
      <c r="K263">
        <f t="shared" ca="1" si="61"/>
        <v>3110</v>
      </c>
      <c r="L263">
        <f t="shared" ca="1" si="62"/>
        <v>2052.6</v>
      </c>
      <c r="M263">
        <f t="shared" ca="1" si="63"/>
        <v>10863</v>
      </c>
      <c r="N263">
        <f t="shared" ca="1" si="64"/>
        <v>947</v>
      </c>
      <c r="O263">
        <f ca="1">Table2[[#This Row],[Delivery Date]]-Table2[[#This Row],[Order date]]</f>
        <v>7</v>
      </c>
      <c r="P263">
        <f ca="1">MAX(0,Table2[[#This Row],[Delivery Date]]-Table2[[#This Row],[Planned Delivery Date]])</f>
        <v>5</v>
      </c>
      <c r="Q263" t="str">
        <f ca="1">IF(Table2[[#This Row],[Delivery Date]]&lt;=Table2[[#This Row],[Planned Delivery Date]],"On Time","Delayed")</f>
        <v>Delayed</v>
      </c>
      <c r="R263">
        <f ca="1">Table2[[#This Row],[Revenue]]-Table2[[#This Row],[Transport Cost]]</f>
        <v>1057.4000000000001</v>
      </c>
      <c r="S263" s="4">
        <f t="shared" ca="1" si="52"/>
        <v>0.34</v>
      </c>
    </row>
    <row r="264" spans="1:19" x14ac:dyDescent="0.2">
      <c r="A264" t="s">
        <v>278</v>
      </c>
      <c r="B264" s="1">
        <f t="shared" ca="1" si="53"/>
        <v>46062</v>
      </c>
      <c r="C264" s="1">
        <f t="shared" ca="1" si="54"/>
        <v>46070</v>
      </c>
      <c r="D264" s="1">
        <f t="shared" ca="1" si="55"/>
        <v>46073</v>
      </c>
      <c r="E264" t="str">
        <f t="shared" ca="1" si="56"/>
        <v>Allegro</v>
      </c>
      <c r="F264" t="str">
        <f t="shared" ca="1" si="57"/>
        <v>Italy</v>
      </c>
      <c r="G264" t="str">
        <f t="shared" ca="1" si="58"/>
        <v>Milan</v>
      </c>
      <c r="H264" t="str">
        <f t="shared" ca="1" si="59"/>
        <v>Air</v>
      </c>
      <c r="I264" t="str">
        <f t="shared" ca="1" si="60"/>
        <v>UPS</v>
      </c>
      <c r="J264" t="s">
        <v>316</v>
      </c>
      <c r="K264">
        <f t="shared" ca="1" si="61"/>
        <v>3656</v>
      </c>
      <c r="L264">
        <f t="shared" ca="1" si="62"/>
        <v>2010.8</v>
      </c>
      <c r="M264">
        <f t="shared" ca="1" si="63"/>
        <v>117</v>
      </c>
      <c r="N264">
        <f t="shared" ca="1" si="64"/>
        <v>1675</v>
      </c>
      <c r="O264">
        <f ca="1">Table2[[#This Row],[Delivery Date]]-Table2[[#This Row],[Order date]]</f>
        <v>11</v>
      </c>
      <c r="P264">
        <f ca="1">MAX(0,Table2[[#This Row],[Delivery Date]]-Table2[[#This Row],[Planned Delivery Date]])</f>
        <v>3</v>
      </c>
      <c r="Q264" t="str">
        <f ca="1">IF(Table2[[#This Row],[Delivery Date]]&lt;=Table2[[#This Row],[Planned Delivery Date]],"On Time","Delayed")</f>
        <v>Delayed</v>
      </c>
      <c r="R264">
        <f ca="1">Table2[[#This Row],[Revenue]]-Table2[[#This Row],[Transport Cost]]</f>
        <v>1645.2</v>
      </c>
      <c r="S264" s="4">
        <f t="shared" ca="1" si="52"/>
        <v>0.45</v>
      </c>
    </row>
    <row r="265" spans="1:19" x14ac:dyDescent="0.2">
      <c r="A265" t="s">
        <v>279</v>
      </c>
      <c r="B265" s="1">
        <f t="shared" ca="1" si="53"/>
        <v>46182</v>
      </c>
      <c r="C265" s="1">
        <f t="shared" ca="1" si="54"/>
        <v>46186</v>
      </c>
      <c r="D265" s="1">
        <f t="shared" ca="1" si="55"/>
        <v>46190</v>
      </c>
      <c r="E265" t="str">
        <f t="shared" ca="1" si="56"/>
        <v>Bosch</v>
      </c>
      <c r="F265" t="str">
        <f t="shared" ca="1" si="57"/>
        <v>Germany</v>
      </c>
      <c r="G265" t="str">
        <f t="shared" ca="1" si="58"/>
        <v>Munich</v>
      </c>
      <c r="H265" t="str">
        <f t="shared" ca="1" si="59"/>
        <v>Road</v>
      </c>
      <c r="I265" t="str">
        <f t="shared" ca="1" si="60"/>
        <v>FedEx</v>
      </c>
      <c r="J265" t="s">
        <v>316</v>
      </c>
      <c r="K265">
        <f t="shared" ca="1" si="61"/>
        <v>1385</v>
      </c>
      <c r="L265">
        <f t="shared" ca="1" si="62"/>
        <v>1038.75</v>
      </c>
      <c r="M265">
        <f t="shared" ca="1" si="63"/>
        <v>3179</v>
      </c>
      <c r="N265">
        <f t="shared" ca="1" si="64"/>
        <v>869</v>
      </c>
      <c r="O265">
        <f ca="1">Table2[[#This Row],[Delivery Date]]-Table2[[#This Row],[Order date]]</f>
        <v>8</v>
      </c>
      <c r="P265">
        <f ca="1">MAX(0,Table2[[#This Row],[Delivery Date]]-Table2[[#This Row],[Planned Delivery Date]])</f>
        <v>4</v>
      </c>
      <c r="Q265" t="str">
        <f ca="1">IF(Table2[[#This Row],[Delivery Date]]&lt;=Table2[[#This Row],[Planned Delivery Date]],"On Time","Delayed")</f>
        <v>Delayed</v>
      </c>
      <c r="R265">
        <f ca="1">Table2[[#This Row],[Revenue]]-Table2[[#This Row],[Transport Cost]]</f>
        <v>346.25</v>
      </c>
      <c r="S265" s="4">
        <f t="shared" ca="1" si="52"/>
        <v>0.25</v>
      </c>
    </row>
    <row r="266" spans="1:19" x14ac:dyDescent="0.2">
      <c r="A266" t="s">
        <v>280</v>
      </c>
      <c r="B266" s="1">
        <f t="shared" ca="1" si="53"/>
        <v>46183</v>
      </c>
      <c r="C266" s="1">
        <f t="shared" ca="1" si="54"/>
        <v>46186</v>
      </c>
      <c r="D266" s="1">
        <f t="shared" ca="1" si="55"/>
        <v>46187</v>
      </c>
      <c r="E266" t="str">
        <f t="shared" ca="1" si="56"/>
        <v>Zara</v>
      </c>
      <c r="F266" t="str">
        <f t="shared" ca="1" si="57"/>
        <v>France</v>
      </c>
      <c r="G266" t="str">
        <f t="shared" ca="1" si="58"/>
        <v>Lyon</v>
      </c>
      <c r="H266" t="str">
        <f t="shared" ca="1" si="59"/>
        <v>Air</v>
      </c>
      <c r="I266" t="str">
        <f t="shared" ca="1" si="60"/>
        <v>UPS</v>
      </c>
      <c r="J266" t="s">
        <v>316</v>
      </c>
      <c r="K266">
        <f t="shared" ca="1" si="61"/>
        <v>5334</v>
      </c>
      <c r="L266">
        <f t="shared" ca="1" si="62"/>
        <v>3680.46</v>
      </c>
      <c r="M266">
        <f t="shared" ca="1" si="63"/>
        <v>407</v>
      </c>
      <c r="N266">
        <f t="shared" ca="1" si="64"/>
        <v>1767</v>
      </c>
      <c r="O266">
        <f ca="1">Table2[[#This Row],[Delivery Date]]-Table2[[#This Row],[Order date]]</f>
        <v>4</v>
      </c>
      <c r="P266">
        <f ca="1">MAX(0,Table2[[#This Row],[Delivery Date]]-Table2[[#This Row],[Planned Delivery Date]])</f>
        <v>1</v>
      </c>
      <c r="Q266" t="str">
        <f ca="1">IF(Table2[[#This Row],[Delivery Date]]&lt;=Table2[[#This Row],[Planned Delivery Date]],"On Time","Delayed")</f>
        <v>Delayed</v>
      </c>
      <c r="R266">
        <f ca="1">Table2[[#This Row],[Revenue]]-Table2[[#This Row],[Transport Cost]]</f>
        <v>1653.54</v>
      </c>
      <c r="S266" s="4">
        <f t="shared" ca="1" si="52"/>
        <v>0.31</v>
      </c>
    </row>
    <row r="267" spans="1:19" x14ac:dyDescent="0.2">
      <c r="A267" t="s">
        <v>281</v>
      </c>
      <c r="B267" s="1">
        <f t="shared" ca="1" si="53"/>
        <v>46143</v>
      </c>
      <c r="C267" s="1">
        <f t="shared" ca="1" si="54"/>
        <v>46151</v>
      </c>
      <c r="D267" s="1">
        <f t="shared" ca="1" si="55"/>
        <v>46150</v>
      </c>
      <c r="E267" t="str">
        <f t="shared" ca="1" si="56"/>
        <v>H&amp;M</v>
      </c>
      <c r="F267" t="str">
        <f t="shared" ca="1" si="57"/>
        <v>Germany</v>
      </c>
      <c r="G267" t="str">
        <f t="shared" ca="1" si="58"/>
        <v>Munich</v>
      </c>
      <c r="H267" t="str">
        <f t="shared" ca="1" si="59"/>
        <v>Road</v>
      </c>
      <c r="I267" t="str">
        <f t="shared" ca="1" si="60"/>
        <v>FedEx</v>
      </c>
      <c r="J267" t="s">
        <v>316</v>
      </c>
      <c r="K267">
        <f t="shared" ca="1" si="61"/>
        <v>988</v>
      </c>
      <c r="L267">
        <f t="shared" ca="1" si="62"/>
        <v>750.88</v>
      </c>
      <c r="M267">
        <f t="shared" ca="1" si="63"/>
        <v>2675</v>
      </c>
      <c r="N267">
        <f t="shared" ca="1" si="64"/>
        <v>565</v>
      </c>
      <c r="O267">
        <f ca="1">Table2[[#This Row],[Delivery Date]]-Table2[[#This Row],[Order date]]</f>
        <v>7</v>
      </c>
      <c r="P267">
        <f ca="1">MAX(0,Table2[[#This Row],[Delivery Date]]-Table2[[#This Row],[Planned Delivery Date]])</f>
        <v>0</v>
      </c>
      <c r="Q267" t="str">
        <f ca="1">IF(Table2[[#This Row],[Delivery Date]]&lt;=Table2[[#This Row],[Planned Delivery Date]],"On Time","Delayed")</f>
        <v>On Time</v>
      </c>
      <c r="R267">
        <f ca="1">Table2[[#This Row],[Revenue]]-Table2[[#This Row],[Transport Cost]]</f>
        <v>237.12</v>
      </c>
      <c r="S267" s="4">
        <f t="shared" ca="1" si="52"/>
        <v>0.24</v>
      </c>
    </row>
    <row r="268" spans="1:19" x14ac:dyDescent="0.2">
      <c r="A268" t="s">
        <v>282</v>
      </c>
      <c r="B268" s="1">
        <f t="shared" ca="1" si="53"/>
        <v>46053</v>
      </c>
      <c r="C268" s="1">
        <f t="shared" ca="1" si="54"/>
        <v>46056</v>
      </c>
      <c r="D268" s="1">
        <f t="shared" ca="1" si="55"/>
        <v>46057</v>
      </c>
      <c r="E268" t="str">
        <f t="shared" ca="1" si="56"/>
        <v>Zara</v>
      </c>
      <c r="F268" t="str">
        <f t="shared" ca="1" si="57"/>
        <v>Spain</v>
      </c>
      <c r="G268" t="str">
        <f t="shared" ca="1" si="58"/>
        <v>Barcelona</v>
      </c>
      <c r="H268" t="str">
        <f t="shared" ca="1" si="59"/>
        <v>Sea</v>
      </c>
      <c r="I268" t="str">
        <f t="shared" ca="1" si="60"/>
        <v>Maersk</v>
      </c>
      <c r="J268" t="s">
        <v>316</v>
      </c>
      <c r="K268">
        <f t="shared" ca="1" si="61"/>
        <v>3790</v>
      </c>
      <c r="L268">
        <f t="shared" ca="1" si="62"/>
        <v>2956.2</v>
      </c>
      <c r="M268">
        <f t="shared" ca="1" si="63"/>
        <v>9342</v>
      </c>
      <c r="N268">
        <f t="shared" ca="1" si="64"/>
        <v>2321</v>
      </c>
      <c r="O268">
        <f ca="1">Table2[[#This Row],[Delivery Date]]-Table2[[#This Row],[Order date]]</f>
        <v>4</v>
      </c>
      <c r="P268">
        <f ca="1">MAX(0,Table2[[#This Row],[Delivery Date]]-Table2[[#This Row],[Planned Delivery Date]])</f>
        <v>1</v>
      </c>
      <c r="Q268" t="str">
        <f ca="1">IF(Table2[[#This Row],[Delivery Date]]&lt;=Table2[[#This Row],[Planned Delivery Date]],"On Time","Delayed")</f>
        <v>Delayed</v>
      </c>
      <c r="R268">
        <f ca="1">Table2[[#This Row],[Revenue]]-Table2[[#This Row],[Transport Cost]]</f>
        <v>833.80000000000018</v>
      </c>
      <c r="S268" s="4">
        <f t="shared" ca="1" si="52"/>
        <v>0.22000000000000006</v>
      </c>
    </row>
    <row r="269" spans="1:19" x14ac:dyDescent="0.2">
      <c r="A269" t="s">
        <v>283</v>
      </c>
      <c r="B269" s="1">
        <f t="shared" ca="1" si="53"/>
        <v>46176</v>
      </c>
      <c r="C269" s="1">
        <f t="shared" ca="1" si="54"/>
        <v>46178</v>
      </c>
      <c r="D269" s="1">
        <f t="shared" ca="1" si="55"/>
        <v>46183</v>
      </c>
      <c r="E269" t="str">
        <f t="shared" ca="1" si="56"/>
        <v>Zara</v>
      </c>
      <c r="F269" t="str">
        <f t="shared" ca="1" si="57"/>
        <v>Spain</v>
      </c>
      <c r="G269" t="str">
        <f t="shared" ca="1" si="58"/>
        <v>Barcelona</v>
      </c>
      <c r="H269" t="str">
        <f t="shared" ca="1" si="59"/>
        <v>Air</v>
      </c>
      <c r="I269" t="str">
        <f t="shared" ca="1" si="60"/>
        <v>UPS</v>
      </c>
      <c r="J269" t="s">
        <v>316</v>
      </c>
      <c r="K269">
        <f t="shared" ca="1" si="61"/>
        <v>3149</v>
      </c>
      <c r="L269">
        <f t="shared" ca="1" si="62"/>
        <v>2204.3000000000002</v>
      </c>
      <c r="M269">
        <f t="shared" ca="1" si="63"/>
        <v>697</v>
      </c>
      <c r="N269">
        <f t="shared" ca="1" si="64"/>
        <v>2393</v>
      </c>
      <c r="O269">
        <f ca="1">Table2[[#This Row],[Delivery Date]]-Table2[[#This Row],[Order date]]</f>
        <v>7</v>
      </c>
      <c r="P269">
        <f ca="1">MAX(0,Table2[[#This Row],[Delivery Date]]-Table2[[#This Row],[Planned Delivery Date]])</f>
        <v>5</v>
      </c>
      <c r="Q269" t="str">
        <f ca="1">IF(Table2[[#This Row],[Delivery Date]]&lt;=Table2[[#This Row],[Planned Delivery Date]],"On Time","Delayed")</f>
        <v>Delayed</v>
      </c>
      <c r="R269">
        <f ca="1">Table2[[#This Row],[Revenue]]-Table2[[#This Row],[Transport Cost]]</f>
        <v>944.69999999999982</v>
      </c>
      <c r="S269" s="4">
        <f t="shared" ca="1" si="52"/>
        <v>0.29999999999999993</v>
      </c>
    </row>
    <row r="270" spans="1:19" x14ac:dyDescent="0.2">
      <c r="A270" t="s">
        <v>284</v>
      </c>
      <c r="B270" s="1">
        <f t="shared" ca="1" si="53"/>
        <v>46136</v>
      </c>
      <c r="C270" s="1">
        <f t="shared" ca="1" si="54"/>
        <v>46143</v>
      </c>
      <c r="D270" s="1">
        <f t="shared" ca="1" si="55"/>
        <v>46145</v>
      </c>
      <c r="E270" t="str">
        <f t="shared" ca="1" si="56"/>
        <v>Samsung</v>
      </c>
      <c r="F270" t="str">
        <f t="shared" ca="1" si="57"/>
        <v>France</v>
      </c>
      <c r="G270" t="str">
        <f t="shared" ca="1" si="58"/>
        <v>Lyon</v>
      </c>
      <c r="H270" t="str">
        <f t="shared" ca="1" si="59"/>
        <v>Air</v>
      </c>
      <c r="I270" t="str">
        <f t="shared" ca="1" si="60"/>
        <v>DHL</v>
      </c>
      <c r="J270" t="s">
        <v>316</v>
      </c>
      <c r="K270">
        <f t="shared" ca="1" si="61"/>
        <v>3680</v>
      </c>
      <c r="L270">
        <f t="shared" ca="1" si="62"/>
        <v>2944</v>
      </c>
      <c r="M270">
        <f t="shared" ca="1" si="63"/>
        <v>436</v>
      </c>
      <c r="N270">
        <f t="shared" ca="1" si="64"/>
        <v>1554</v>
      </c>
      <c r="O270">
        <f ca="1">Table2[[#This Row],[Delivery Date]]-Table2[[#This Row],[Order date]]</f>
        <v>9</v>
      </c>
      <c r="P270">
        <f ca="1">MAX(0,Table2[[#This Row],[Delivery Date]]-Table2[[#This Row],[Planned Delivery Date]])</f>
        <v>2</v>
      </c>
      <c r="Q270" t="str">
        <f ca="1">IF(Table2[[#This Row],[Delivery Date]]&lt;=Table2[[#This Row],[Planned Delivery Date]],"On Time","Delayed")</f>
        <v>Delayed</v>
      </c>
      <c r="R270">
        <f ca="1">Table2[[#This Row],[Revenue]]-Table2[[#This Row],[Transport Cost]]</f>
        <v>736</v>
      </c>
      <c r="S270" s="4">
        <f t="shared" ca="1" si="52"/>
        <v>0.2</v>
      </c>
    </row>
    <row r="271" spans="1:19" x14ac:dyDescent="0.2">
      <c r="A271" t="s">
        <v>285</v>
      </c>
      <c r="B271" s="1">
        <f t="shared" ca="1" si="53"/>
        <v>46086</v>
      </c>
      <c r="C271" s="1">
        <f t="shared" ca="1" si="54"/>
        <v>46090</v>
      </c>
      <c r="D271" s="1">
        <f t="shared" ca="1" si="55"/>
        <v>46092</v>
      </c>
      <c r="E271" t="str">
        <f t="shared" ca="1" si="56"/>
        <v>IKEA</v>
      </c>
      <c r="F271" t="str">
        <f t="shared" ca="1" si="57"/>
        <v>Czech Republic</v>
      </c>
      <c r="G271" t="str">
        <f t="shared" ca="1" si="58"/>
        <v>Prague</v>
      </c>
      <c r="H271" t="str">
        <f t="shared" ca="1" si="59"/>
        <v>Air</v>
      </c>
      <c r="I271" t="str">
        <f t="shared" ca="1" si="60"/>
        <v>UPS</v>
      </c>
      <c r="J271" t="s">
        <v>316</v>
      </c>
      <c r="K271">
        <f t="shared" ca="1" si="61"/>
        <v>4539</v>
      </c>
      <c r="L271">
        <f t="shared" ca="1" si="62"/>
        <v>3313.47</v>
      </c>
      <c r="M271">
        <f t="shared" ca="1" si="63"/>
        <v>416</v>
      </c>
      <c r="N271">
        <f t="shared" ca="1" si="64"/>
        <v>595</v>
      </c>
      <c r="O271">
        <f ca="1">Table2[[#This Row],[Delivery Date]]-Table2[[#This Row],[Order date]]</f>
        <v>6</v>
      </c>
      <c r="P271">
        <f ca="1">MAX(0,Table2[[#This Row],[Delivery Date]]-Table2[[#This Row],[Planned Delivery Date]])</f>
        <v>2</v>
      </c>
      <c r="Q271" t="str">
        <f ca="1">IF(Table2[[#This Row],[Delivery Date]]&lt;=Table2[[#This Row],[Planned Delivery Date]],"On Time","Delayed")</f>
        <v>Delayed</v>
      </c>
      <c r="R271">
        <f ca="1">Table2[[#This Row],[Revenue]]-Table2[[#This Row],[Transport Cost]]</f>
        <v>1225.5300000000002</v>
      </c>
      <c r="S271" s="4">
        <f t="shared" ca="1" si="52"/>
        <v>0.27</v>
      </c>
    </row>
    <row r="272" spans="1:19" x14ac:dyDescent="0.2">
      <c r="A272" t="s">
        <v>286</v>
      </c>
      <c r="B272" s="1">
        <f t="shared" ca="1" si="53"/>
        <v>46053</v>
      </c>
      <c r="C272" s="1">
        <f t="shared" ca="1" si="54"/>
        <v>46055</v>
      </c>
      <c r="D272" s="1">
        <f t="shared" ca="1" si="55"/>
        <v>46058</v>
      </c>
      <c r="E272" t="str">
        <f t="shared" ca="1" si="56"/>
        <v>Decathlon</v>
      </c>
      <c r="F272" t="str">
        <f t="shared" ca="1" si="57"/>
        <v>Spain</v>
      </c>
      <c r="G272" t="str">
        <f t="shared" ca="1" si="58"/>
        <v>Barcelona</v>
      </c>
      <c r="H272" t="str">
        <f t="shared" ca="1" si="59"/>
        <v>Road</v>
      </c>
      <c r="I272" t="str">
        <f t="shared" ca="1" si="60"/>
        <v>GLS</v>
      </c>
      <c r="J272" t="s">
        <v>316</v>
      </c>
      <c r="K272">
        <f t="shared" ca="1" si="61"/>
        <v>2141</v>
      </c>
      <c r="L272">
        <f t="shared" ca="1" si="62"/>
        <v>1198.96</v>
      </c>
      <c r="M272">
        <f t="shared" ca="1" si="63"/>
        <v>1137</v>
      </c>
      <c r="N272">
        <f t="shared" ca="1" si="64"/>
        <v>2573</v>
      </c>
      <c r="O272">
        <f ca="1">Table2[[#This Row],[Delivery Date]]-Table2[[#This Row],[Order date]]</f>
        <v>5</v>
      </c>
      <c r="P272">
        <f ca="1">MAX(0,Table2[[#This Row],[Delivery Date]]-Table2[[#This Row],[Planned Delivery Date]])</f>
        <v>3</v>
      </c>
      <c r="Q272" t="str">
        <f ca="1">IF(Table2[[#This Row],[Delivery Date]]&lt;=Table2[[#This Row],[Planned Delivery Date]],"On Time","Delayed")</f>
        <v>Delayed</v>
      </c>
      <c r="R272">
        <f ca="1">Table2[[#This Row],[Revenue]]-Table2[[#This Row],[Transport Cost]]</f>
        <v>942.04</v>
      </c>
      <c r="S272" s="4">
        <f t="shared" ca="1" si="52"/>
        <v>0.44</v>
      </c>
    </row>
    <row r="273" spans="1:19" x14ac:dyDescent="0.2">
      <c r="A273" t="s">
        <v>287</v>
      </c>
      <c r="B273" s="1">
        <f t="shared" ca="1" si="53"/>
        <v>46036</v>
      </c>
      <c r="C273" s="1">
        <f t="shared" ca="1" si="54"/>
        <v>46042</v>
      </c>
      <c r="D273" s="1">
        <f t="shared" ca="1" si="55"/>
        <v>46043</v>
      </c>
      <c r="E273" t="str">
        <f t="shared" ca="1" si="56"/>
        <v>Philips</v>
      </c>
      <c r="F273" t="str">
        <f t="shared" ca="1" si="57"/>
        <v>Spain</v>
      </c>
      <c r="G273" t="str">
        <f t="shared" ca="1" si="58"/>
        <v>Barcelona</v>
      </c>
      <c r="H273" t="str">
        <f t="shared" ca="1" si="59"/>
        <v>Air</v>
      </c>
      <c r="I273" t="str">
        <f t="shared" ca="1" si="60"/>
        <v>FedEx</v>
      </c>
      <c r="J273" t="s">
        <v>316</v>
      </c>
      <c r="K273">
        <f t="shared" ca="1" si="61"/>
        <v>4829</v>
      </c>
      <c r="L273">
        <f t="shared" ca="1" si="62"/>
        <v>2897.4</v>
      </c>
      <c r="M273">
        <f t="shared" ca="1" si="63"/>
        <v>319</v>
      </c>
      <c r="N273">
        <f t="shared" ca="1" si="64"/>
        <v>2428</v>
      </c>
      <c r="O273">
        <f ca="1">Table2[[#This Row],[Delivery Date]]-Table2[[#This Row],[Order date]]</f>
        <v>7</v>
      </c>
      <c r="P273">
        <f ca="1">MAX(0,Table2[[#This Row],[Delivery Date]]-Table2[[#This Row],[Planned Delivery Date]])</f>
        <v>1</v>
      </c>
      <c r="Q273" t="str">
        <f ca="1">IF(Table2[[#This Row],[Delivery Date]]&lt;=Table2[[#This Row],[Planned Delivery Date]],"On Time","Delayed")</f>
        <v>Delayed</v>
      </c>
      <c r="R273">
        <f ca="1">Table2[[#This Row],[Revenue]]-Table2[[#This Row],[Transport Cost]]</f>
        <v>1931.6</v>
      </c>
      <c r="S273" s="4">
        <f t="shared" ca="1" si="52"/>
        <v>0.39999999999999997</v>
      </c>
    </row>
    <row r="274" spans="1:19" x14ac:dyDescent="0.2">
      <c r="A274" t="s">
        <v>288</v>
      </c>
      <c r="B274" s="1">
        <f t="shared" ca="1" si="53"/>
        <v>46095</v>
      </c>
      <c r="C274" s="1">
        <f t="shared" ca="1" si="54"/>
        <v>46099</v>
      </c>
      <c r="D274" s="1">
        <f t="shared" ca="1" si="55"/>
        <v>46102</v>
      </c>
      <c r="E274" t="str">
        <f t="shared" ca="1" si="56"/>
        <v>Philips</v>
      </c>
      <c r="F274" t="str">
        <f t="shared" ca="1" si="57"/>
        <v>Spain</v>
      </c>
      <c r="G274" t="str">
        <f t="shared" ca="1" si="58"/>
        <v>Barcelona</v>
      </c>
      <c r="H274" t="str">
        <f t="shared" ca="1" si="59"/>
        <v>Sea</v>
      </c>
      <c r="I274" t="str">
        <f t="shared" ca="1" si="60"/>
        <v>Maersk</v>
      </c>
      <c r="J274" t="s">
        <v>316</v>
      </c>
      <c r="K274">
        <f t="shared" ca="1" si="61"/>
        <v>2637</v>
      </c>
      <c r="L274">
        <f t="shared" ca="1" si="62"/>
        <v>1819.53</v>
      </c>
      <c r="M274">
        <f t="shared" ca="1" si="63"/>
        <v>8506</v>
      </c>
      <c r="N274">
        <f t="shared" ca="1" si="64"/>
        <v>2559</v>
      </c>
      <c r="O274">
        <f ca="1">Table2[[#This Row],[Delivery Date]]-Table2[[#This Row],[Order date]]</f>
        <v>7</v>
      </c>
      <c r="P274">
        <f ca="1">MAX(0,Table2[[#This Row],[Delivery Date]]-Table2[[#This Row],[Planned Delivery Date]])</f>
        <v>3</v>
      </c>
      <c r="Q274" t="str">
        <f ca="1">IF(Table2[[#This Row],[Delivery Date]]&lt;=Table2[[#This Row],[Planned Delivery Date]],"On Time","Delayed")</f>
        <v>Delayed</v>
      </c>
      <c r="R274">
        <f ca="1">Table2[[#This Row],[Revenue]]-Table2[[#This Row],[Transport Cost]]</f>
        <v>817.47</v>
      </c>
      <c r="S274" s="4">
        <f t="shared" ca="1" si="52"/>
        <v>0.31</v>
      </c>
    </row>
    <row r="275" spans="1:19" x14ac:dyDescent="0.2">
      <c r="A275" t="s">
        <v>289</v>
      </c>
      <c r="B275" s="1">
        <f t="shared" ca="1" si="53"/>
        <v>46040</v>
      </c>
      <c r="C275" s="1">
        <f t="shared" ca="1" si="54"/>
        <v>46048</v>
      </c>
      <c r="D275" s="1">
        <f t="shared" ca="1" si="55"/>
        <v>46052</v>
      </c>
      <c r="E275" t="str">
        <f t="shared" ca="1" si="56"/>
        <v>IKEA</v>
      </c>
      <c r="F275" t="str">
        <f t="shared" ca="1" si="57"/>
        <v>Poland</v>
      </c>
      <c r="G275" t="str">
        <f t="shared" ca="1" si="58"/>
        <v>Warsaw</v>
      </c>
      <c r="H275" t="str">
        <f t="shared" ca="1" si="59"/>
        <v>Road</v>
      </c>
      <c r="I275" t="str">
        <f t="shared" ca="1" si="60"/>
        <v>DHL</v>
      </c>
      <c r="J275" t="s">
        <v>316</v>
      </c>
      <c r="K275">
        <f t="shared" ca="1" si="61"/>
        <v>1934</v>
      </c>
      <c r="L275">
        <f t="shared" ca="1" si="62"/>
        <v>1624.56</v>
      </c>
      <c r="M275">
        <f t="shared" ca="1" si="63"/>
        <v>2148</v>
      </c>
      <c r="N275">
        <f t="shared" ca="1" si="64"/>
        <v>429</v>
      </c>
      <c r="O275">
        <f ca="1">Table2[[#This Row],[Delivery Date]]-Table2[[#This Row],[Order date]]</f>
        <v>12</v>
      </c>
      <c r="P275">
        <f ca="1">MAX(0,Table2[[#This Row],[Delivery Date]]-Table2[[#This Row],[Planned Delivery Date]])</f>
        <v>4</v>
      </c>
      <c r="Q275" t="str">
        <f ca="1">IF(Table2[[#This Row],[Delivery Date]]&lt;=Table2[[#This Row],[Planned Delivery Date]],"On Time","Delayed")</f>
        <v>Delayed</v>
      </c>
      <c r="R275">
        <f ca="1">Table2[[#This Row],[Revenue]]-Table2[[#This Row],[Transport Cost]]</f>
        <v>309.44000000000005</v>
      </c>
      <c r="S275" s="4">
        <f t="shared" ca="1" si="52"/>
        <v>0.16000000000000003</v>
      </c>
    </row>
    <row r="276" spans="1:19" x14ac:dyDescent="0.2">
      <c r="A276" t="s">
        <v>290</v>
      </c>
      <c r="B276" s="1">
        <f t="shared" ca="1" si="53"/>
        <v>46191</v>
      </c>
      <c r="C276" s="1">
        <f t="shared" ca="1" si="54"/>
        <v>46199</v>
      </c>
      <c r="D276" s="1">
        <f t="shared" ca="1" si="55"/>
        <v>46202</v>
      </c>
      <c r="E276" t="str">
        <f t="shared" ca="1" si="56"/>
        <v>Bosch</v>
      </c>
      <c r="F276" t="str">
        <f t="shared" ca="1" si="57"/>
        <v>Italy</v>
      </c>
      <c r="G276" t="str">
        <f t="shared" ca="1" si="58"/>
        <v>Rome</v>
      </c>
      <c r="H276" t="str">
        <f t="shared" ca="1" si="59"/>
        <v>Sea</v>
      </c>
      <c r="I276" t="str">
        <f t="shared" ca="1" si="60"/>
        <v>Maersk</v>
      </c>
      <c r="J276" t="s">
        <v>316</v>
      </c>
      <c r="K276">
        <f t="shared" ca="1" si="61"/>
        <v>1702</v>
      </c>
      <c r="L276">
        <f t="shared" ca="1" si="62"/>
        <v>936.1</v>
      </c>
      <c r="M276">
        <f t="shared" ca="1" si="63"/>
        <v>6488</v>
      </c>
      <c r="N276">
        <f t="shared" ca="1" si="64"/>
        <v>1919</v>
      </c>
      <c r="O276">
        <f ca="1">Table2[[#This Row],[Delivery Date]]-Table2[[#This Row],[Order date]]</f>
        <v>11</v>
      </c>
      <c r="P276">
        <f ca="1">MAX(0,Table2[[#This Row],[Delivery Date]]-Table2[[#This Row],[Planned Delivery Date]])</f>
        <v>3</v>
      </c>
      <c r="Q276" t="str">
        <f ca="1">IF(Table2[[#This Row],[Delivery Date]]&lt;=Table2[[#This Row],[Planned Delivery Date]],"On Time","Delayed")</f>
        <v>Delayed</v>
      </c>
      <c r="R276">
        <f ca="1">Table2[[#This Row],[Revenue]]-Table2[[#This Row],[Transport Cost]]</f>
        <v>765.9</v>
      </c>
      <c r="S276" s="4">
        <f t="shared" ca="1" si="52"/>
        <v>0.45</v>
      </c>
    </row>
    <row r="277" spans="1:19" x14ac:dyDescent="0.2">
      <c r="A277" t="s">
        <v>291</v>
      </c>
      <c r="B277" s="1">
        <f t="shared" ca="1" si="53"/>
        <v>46191</v>
      </c>
      <c r="C277" s="1">
        <f t="shared" ca="1" si="54"/>
        <v>46201</v>
      </c>
      <c r="D277" s="1">
        <f t="shared" ca="1" si="55"/>
        <v>46200</v>
      </c>
      <c r="E277" t="str">
        <f t="shared" ca="1" si="56"/>
        <v>IKEA</v>
      </c>
      <c r="F277" t="str">
        <f t="shared" ca="1" si="57"/>
        <v>Spain</v>
      </c>
      <c r="G277" t="str">
        <f t="shared" ca="1" si="58"/>
        <v>Barcelona</v>
      </c>
      <c r="H277" t="str">
        <f t="shared" ca="1" si="59"/>
        <v>Rail</v>
      </c>
      <c r="I277" t="str">
        <f t="shared" ca="1" si="60"/>
        <v>DB Schenker</v>
      </c>
      <c r="J277" t="s">
        <v>316</v>
      </c>
      <c r="K277">
        <f t="shared" ca="1" si="61"/>
        <v>2230</v>
      </c>
      <c r="L277">
        <f t="shared" ca="1" si="62"/>
        <v>1583.3</v>
      </c>
      <c r="M277">
        <f t="shared" ca="1" si="63"/>
        <v>8445</v>
      </c>
      <c r="N277">
        <f t="shared" ca="1" si="64"/>
        <v>2351</v>
      </c>
      <c r="O277">
        <f ca="1">Table2[[#This Row],[Delivery Date]]-Table2[[#This Row],[Order date]]</f>
        <v>9</v>
      </c>
      <c r="P277">
        <f ca="1">MAX(0,Table2[[#This Row],[Delivery Date]]-Table2[[#This Row],[Planned Delivery Date]])</f>
        <v>0</v>
      </c>
      <c r="Q277" t="str">
        <f ca="1">IF(Table2[[#This Row],[Delivery Date]]&lt;=Table2[[#This Row],[Planned Delivery Date]],"On Time","Delayed")</f>
        <v>On Time</v>
      </c>
      <c r="R277">
        <f ca="1">Table2[[#This Row],[Revenue]]-Table2[[#This Row],[Transport Cost]]</f>
        <v>646.70000000000005</v>
      </c>
      <c r="S277" s="4">
        <f t="shared" ca="1" si="52"/>
        <v>0.29000000000000004</v>
      </c>
    </row>
    <row r="278" spans="1:19" x14ac:dyDescent="0.2">
      <c r="A278" t="s">
        <v>292</v>
      </c>
      <c r="B278" s="1">
        <f t="shared" ca="1" si="53"/>
        <v>46094</v>
      </c>
      <c r="C278" s="1">
        <f t="shared" ca="1" si="54"/>
        <v>46102</v>
      </c>
      <c r="D278" s="1">
        <f t="shared" ca="1" si="55"/>
        <v>46102</v>
      </c>
      <c r="E278" t="str">
        <f t="shared" ca="1" si="56"/>
        <v>Zara</v>
      </c>
      <c r="F278" t="str">
        <f t="shared" ca="1" si="57"/>
        <v>France</v>
      </c>
      <c r="G278" t="str">
        <f t="shared" ca="1" si="58"/>
        <v>Lyon</v>
      </c>
      <c r="H278" t="str">
        <f t="shared" ca="1" si="59"/>
        <v>Air</v>
      </c>
      <c r="I278" t="str">
        <f t="shared" ca="1" si="60"/>
        <v>UPS</v>
      </c>
      <c r="J278" t="s">
        <v>316</v>
      </c>
      <c r="K278">
        <f t="shared" ca="1" si="61"/>
        <v>2189</v>
      </c>
      <c r="L278">
        <f t="shared" ca="1" si="62"/>
        <v>1794.98</v>
      </c>
      <c r="M278">
        <f t="shared" ca="1" si="63"/>
        <v>568</v>
      </c>
      <c r="N278">
        <f t="shared" ca="1" si="64"/>
        <v>1726</v>
      </c>
      <c r="O278">
        <f ca="1">Table2[[#This Row],[Delivery Date]]-Table2[[#This Row],[Order date]]</f>
        <v>8</v>
      </c>
      <c r="P278">
        <f ca="1">MAX(0,Table2[[#This Row],[Delivery Date]]-Table2[[#This Row],[Planned Delivery Date]])</f>
        <v>0</v>
      </c>
      <c r="Q278" t="str">
        <f ca="1">IF(Table2[[#This Row],[Delivery Date]]&lt;=Table2[[#This Row],[Planned Delivery Date]],"On Time","Delayed")</f>
        <v>On Time</v>
      </c>
      <c r="R278">
        <f ca="1">Table2[[#This Row],[Revenue]]-Table2[[#This Row],[Transport Cost]]</f>
        <v>394.02</v>
      </c>
      <c r="S278" s="4">
        <f t="shared" ca="1" si="52"/>
        <v>0.18</v>
      </c>
    </row>
    <row r="279" spans="1:19" x14ac:dyDescent="0.2">
      <c r="A279" t="s">
        <v>293</v>
      </c>
      <c r="B279" s="1">
        <f t="shared" ca="1" si="53"/>
        <v>46072</v>
      </c>
      <c r="C279" s="1">
        <f t="shared" ca="1" si="54"/>
        <v>46081</v>
      </c>
      <c r="D279" s="1">
        <f t="shared" ca="1" si="55"/>
        <v>46083</v>
      </c>
      <c r="E279" t="str">
        <f t="shared" ca="1" si="56"/>
        <v>Zara</v>
      </c>
      <c r="F279" t="str">
        <f t="shared" ca="1" si="57"/>
        <v>Czech Republic</v>
      </c>
      <c r="G279" t="str">
        <f t="shared" ca="1" si="58"/>
        <v>Prague</v>
      </c>
      <c r="H279" t="str">
        <f t="shared" ca="1" si="59"/>
        <v>Sea</v>
      </c>
      <c r="I279" t="str">
        <f t="shared" ca="1" si="60"/>
        <v>Kuehne+Nagel</v>
      </c>
      <c r="J279" t="s">
        <v>316</v>
      </c>
      <c r="K279">
        <f t="shared" ca="1" si="61"/>
        <v>2072</v>
      </c>
      <c r="L279">
        <f t="shared" ca="1" si="62"/>
        <v>1346.8</v>
      </c>
      <c r="M279">
        <f t="shared" ca="1" si="63"/>
        <v>12878</v>
      </c>
      <c r="N279">
        <f t="shared" ca="1" si="64"/>
        <v>569</v>
      </c>
      <c r="O279">
        <f ca="1">Table2[[#This Row],[Delivery Date]]-Table2[[#This Row],[Order date]]</f>
        <v>11</v>
      </c>
      <c r="P279">
        <f ca="1">MAX(0,Table2[[#This Row],[Delivery Date]]-Table2[[#This Row],[Planned Delivery Date]])</f>
        <v>2</v>
      </c>
      <c r="Q279" t="str">
        <f ca="1">IF(Table2[[#This Row],[Delivery Date]]&lt;=Table2[[#This Row],[Planned Delivery Date]],"On Time","Delayed")</f>
        <v>Delayed</v>
      </c>
      <c r="R279">
        <f ca="1">Table2[[#This Row],[Revenue]]-Table2[[#This Row],[Transport Cost]]</f>
        <v>725.2</v>
      </c>
      <c r="S279" s="4">
        <f t="shared" ca="1" si="52"/>
        <v>0.35000000000000003</v>
      </c>
    </row>
    <row r="280" spans="1:19" x14ac:dyDescent="0.2">
      <c r="A280" t="s">
        <v>294</v>
      </c>
      <c r="B280" s="1">
        <f t="shared" ca="1" si="53"/>
        <v>46032</v>
      </c>
      <c r="C280" s="1">
        <f t="shared" ca="1" si="54"/>
        <v>46040</v>
      </c>
      <c r="D280" s="1">
        <f t="shared" ca="1" si="55"/>
        <v>46045</v>
      </c>
      <c r="E280" t="str">
        <f t="shared" ca="1" si="56"/>
        <v>Samsung</v>
      </c>
      <c r="F280" t="str">
        <f t="shared" ca="1" si="57"/>
        <v>France</v>
      </c>
      <c r="G280" t="str">
        <f t="shared" ca="1" si="58"/>
        <v>Lyon</v>
      </c>
      <c r="H280" t="str">
        <f t="shared" ca="1" si="59"/>
        <v>Air</v>
      </c>
      <c r="I280" t="str">
        <f t="shared" ca="1" si="60"/>
        <v>FedEx</v>
      </c>
      <c r="J280" t="s">
        <v>316</v>
      </c>
      <c r="K280">
        <f t="shared" ca="1" si="61"/>
        <v>4974</v>
      </c>
      <c r="L280">
        <f t="shared" ca="1" si="62"/>
        <v>4178.16</v>
      </c>
      <c r="M280">
        <f t="shared" ca="1" si="63"/>
        <v>241</v>
      </c>
      <c r="N280">
        <f t="shared" ca="1" si="64"/>
        <v>1430</v>
      </c>
      <c r="O280">
        <f ca="1">Table2[[#This Row],[Delivery Date]]-Table2[[#This Row],[Order date]]</f>
        <v>13</v>
      </c>
      <c r="P280">
        <f ca="1">MAX(0,Table2[[#This Row],[Delivery Date]]-Table2[[#This Row],[Planned Delivery Date]])</f>
        <v>5</v>
      </c>
      <c r="Q280" t="str">
        <f ca="1">IF(Table2[[#This Row],[Delivery Date]]&lt;=Table2[[#This Row],[Planned Delivery Date]],"On Time","Delayed")</f>
        <v>Delayed</v>
      </c>
      <c r="R280">
        <f ca="1">Table2[[#This Row],[Revenue]]-Table2[[#This Row],[Transport Cost]]</f>
        <v>795.84000000000015</v>
      </c>
      <c r="S280" s="4">
        <f t="shared" ca="1" si="52"/>
        <v>0.16000000000000003</v>
      </c>
    </row>
    <row r="281" spans="1:19" x14ac:dyDescent="0.2">
      <c r="A281" t="s">
        <v>295</v>
      </c>
      <c r="B281" s="1">
        <f t="shared" ca="1" si="53"/>
        <v>46027</v>
      </c>
      <c r="C281" s="1">
        <f t="shared" ca="1" si="54"/>
        <v>46032</v>
      </c>
      <c r="D281" s="1">
        <f t="shared" ca="1" si="55"/>
        <v>46032</v>
      </c>
      <c r="E281" t="str">
        <f t="shared" ca="1" si="56"/>
        <v>Zara</v>
      </c>
      <c r="F281" t="str">
        <f t="shared" ca="1" si="57"/>
        <v>Italy</v>
      </c>
      <c r="G281" t="str">
        <f t="shared" ca="1" si="58"/>
        <v>Milan</v>
      </c>
      <c r="H281" t="str">
        <f t="shared" ca="1" si="59"/>
        <v>Air</v>
      </c>
      <c r="I281" t="str">
        <f t="shared" ca="1" si="60"/>
        <v>FedEx</v>
      </c>
      <c r="J281" t="s">
        <v>316</v>
      </c>
      <c r="K281">
        <f t="shared" ca="1" si="61"/>
        <v>5672</v>
      </c>
      <c r="L281">
        <f t="shared" ca="1" si="62"/>
        <v>3800.24</v>
      </c>
      <c r="M281">
        <f t="shared" ca="1" si="63"/>
        <v>509</v>
      </c>
      <c r="N281">
        <f t="shared" ca="1" si="64"/>
        <v>1799</v>
      </c>
      <c r="O281">
        <f ca="1">Table2[[#This Row],[Delivery Date]]-Table2[[#This Row],[Order date]]</f>
        <v>5</v>
      </c>
      <c r="P281">
        <f ca="1">MAX(0,Table2[[#This Row],[Delivery Date]]-Table2[[#This Row],[Planned Delivery Date]])</f>
        <v>0</v>
      </c>
      <c r="Q281" t="str">
        <f ca="1">IF(Table2[[#This Row],[Delivery Date]]&lt;=Table2[[#This Row],[Planned Delivery Date]],"On Time","Delayed")</f>
        <v>On Time</v>
      </c>
      <c r="R281">
        <f ca="1">Table2[[#This Row],[Revenue]]-Table2[[#This Row],[Transport Cost]]</f>
        <v>1871.7600000000002</v>
      </c>
      <c r="S281" s="4">
        <f t="shared" ca="1" si="52"/>
        <v>0.33</v>
      </c>
    </row>
    <row r="282" spans="1:19" x14ac:dyDescent="0.2">
      <c r="A282" t="s">
        <v>296</v>
      </c>
      <c r="B282" s="1">
        <f t="shared" ca="1" si="53"/>
        <v>46035</v>
      </c>
      <c r="C282" s="1">
        <f t="shared" ca="1" si="54"/>
        <v>46037</v>
      </c>
      <c r="D282" s="1">
        <f t="shared" ca="1" si="55"/>
        <v>46042</v>
      </c>
      <c r="E282" t="str">
        <f t="shared" ca="1" si="56"/>
        <v>H&amp;M</v>
      </c>
      <c r="F282" t="str">
        <f t="shared" ca="1" si="57"/>
        <v>Germany</v>
      </c>
      <c r="G282" t="str">
        <f t="shared" ca="1" si="58"/>
        <v>Berlin</v>
      </c>
      <c r="H282" t="str">
        <f t="shared" ca="1" si="59"/>
        <v>Sea</v>
      </c>
      <c r="I282" t="str">
        <f t="shared" ca="1" si="60"/>
        <v>Maersk</v>
      </c>
      <c r="J282" t="s">
        <v>316</v>
      </c>
      <c r="K282">
        <f t="shared" ca="1" si="61"/>
        <v>3922</v>
      </c>
      <c r="L282">
        <f t="shared" ca="1" si="62"/>
        <v>2627.74</v>
      </c>
      <c r="M282">
        <f t="shared" ca="1" si="63"/>
        <v>11770</v>
      </c>
      <c r="N282">
        <f t="shared" ca="1" si="64"/>
        <v>615</v>
      </c>
      <c r="O282">
        <f ca="1">Table2[[#This Row],[Delivery Date]]-Table2[[#This Row],[Order date]]</f>
        <v>7</v>
      </c>
      <c r="P282">
        <f ca="1">MAX(0,Table2[[#This Row],[Delivery Date]]-Table2[[#This Row],[Planned Delivery Date]])</f>
        <v>5</v>
      </c>
      <c r="Q282" t="str">
        <f ca="1">IF(Table2[[#This Row],[Delivery Date]]&lt;=Table2[[#This Row],[Planned Delivery Date]],"On Time","Delayed")</f>
        <v>Delayed</v>
      </c>
      <c r="R282">
        <f ca="1">Table2[[#This Row],[Revenue]]-Table2[[#This Row],[Transport Cost]]</f>
        <v>1294.2600000000002</v>
      </c>
      <c r="S282" s="4">
        <f t="shared" ca="1" si="52"/>
        <v>0.33000000000000007</v>
      </c>
    </row>
    <row r="283" spans="1:19" x14ac:dyDescent="0.2">
      <c r="A283" t="s">
        <v>297</v>
      </c>
      <c r="B283" s="1">
        <f t="shared" ca="1" si="53"/>
        <v>46074</v>
      </c>
      <c r="C283" s="1">
        <f t="shared" ca="1" si="54"/>
        <v>46077</v>
      </c>
      <c r="D283" s="1">
        <f t="shared" ca="1" si="55"/>
        <v>46077</v>
      </c>
      <c r="E283" t="str">
        <f t="shared" ca="1" si="56"/>
        <v>Bosch</v>
      </c>
      <c r="F283" t="str">
        <f t="shared" ca="1" si="57"/>
        <v>Spain</v>
      </c>
      <c r="G283" t="str">
        <f t="shared" ca="1" si="58"/>
        <v>Madrid</v>
      </c>
      <c r="H283" t="str">
        <f t="shared" ca="1" si="59"/>
        <v>Rail</v>
      </c>
      <c r="I283" t="str">
        <f t="shared" ca="1" si="60"/>
        <v>Kuehne+Nagel</v>
      </c>
      <c r="J283" t="s">
        <v>316</v>
      </c>
      <c r="K283">
        <f t="shared" ca="1" si="61"/>
        <v>1017</v>
      </c>
      <c r="L283">
        <f t="shared" ca="1" si="62"/>
        <v>569.52</v>
      </c>
      <c r="M283">
        <f t="shared" ca="1" si="63"/>
        <v>1608</v>
      </c>
      <c r="N283">
        <f t="shared" ca="1" si="64"/>
        <v>2070</v>
      </c>
      <c r="O283">
        <f ca="1">Table2[[#This Row],[Delivery Date]]-Table2[[#This Row],[Order date]]</f>
        <v>3</v>
      </c>
      <c r="P283">
        <f ca="1">MAX(0,Table2[[#This Row],[Delivery Date]]-Table2[[#This Row],[Planned Delivery Date]])</f>
        <v>0</v>
      </c>
      <c r="Q283" t="str">
        <f ca="1">IF(Table2[[#This Row],[Delivery Date]]&lt;=Table2[[#This Row],[Planned Delivery Date]],"On Time","Delayed")</f>
        <v>On Time</v>
      </c>
      <c r="R283">
        <f ca="1">Table2[[#This Row],[Revenue]]-Table2[[#This Row],[Transport Cost]]</f>
        <v>447.48</v>
      </c>
      <c r="S283" s="4">
        <f t="shared" ca="1" si="52"/>
        <v>0.44</v>
      </c>
    </row>
    <row r="284" spans="1:19" x14ac:dyDescent="0.2">
      <c r="A284" t="s">
        <v>298</v>
      </c>
      <c r="B284" s="1">
        <f t="shared" ca="1" si="53"/>
        <v>46160</v>
      </c>
      <c r="C284" s="1">
        <f t="shared" ca="1" si="54"/>
        <v>46162</v>
      </c>
      <c r="D284" s="1">
        <f t="shared" ca="1" si="55"/>
        <v>46167</v>
      </c>
      <c r="E284" t="str">
        <f t="shared" ca="1" si="56"/>
        <v>Zara</v>
      </c>
      <c r="F284" t="str">
        <f t="shared" ca="1" si="57"/>
        <v>Germany</v>
      </c>
      <c r="G284" t="str">
        <f t="shared" ca="1" si="58"/>
        <v>Berlin</v>
      </c>
      <c r="H284" t="str">
        <f t="shared" ca="1" si="59"/>
        <v>Air</v>
      </c>
      <c r="I284" t="str">
        <f t="shared" ca="1" si="60"/>
        <v>UPS</v>
      </c>
      <c r="J284" t="s">
        <v>316</v>
      </c>
      <c r="K284">
        <f t="shared" ca="1" si="61"/>
        <v>3780</v>
      </c>
      <c r="L284">
        <f t="shared" ca="1" si="62"/>
        <v>2835</v>
      </c>
      <c r="M284">
        <f t="shared" ca="1" si="63"/>
        <v>72</v>
      </c>
      <c r="N284">
        <f t="shared" ca="1" si="64"/>
        <v>831</v>
      </c>
      <c r="O284">
        <f ca="1">Table2[[#This Row],[Delivery Date]]-Table2[[#This Row],[Order date]]</f>
        <v>7</v>
      </c>
      <c r="P284">
        <f ca="1">MAX(0,Table2[[#This Row],[Delivery Date]]-Table2[[#This Row],[Planned Delivery Date]])</f>
        <v>5</v>
      </c>
      <c r="Q284" t="str">
        <f ca="1">IF(Table2[[#This Row],[Delivery Date]]&lt;=Table2[[#This Row],[Planned Delivery Date]],"On Time","Delayed")</f>
        <v>Delayed</v>
      </c>
      <c r="R284">
        <f ca="1">Table2[[#This Row],[Revenue]]-Table2[[#This Row],[Transport Cost]]</f>
        <v>945</v>
      </c>
      <c r="S284" s="4">
        <f t="shared" ca="1" si="52"/>
        <v>0.25</v>
      </c>
    </row>
    <row r="285" spans="1:19" x14ac:dyDescent="0.2">
      <c r="A285" t="s">
        <v>299</v>
      </c>
      <c r="B285" s="1">
        <f t="shared" ca="1" si="53"/>
        <v>46079</v>
      </c>
      <c r="C285" s="1">
        <f t="shared" ca="1" si="54"/>
        <v>46087</v>
      </c>
      <c r="D285" s="1">
        <f t="shared" ca="1" si="55"/>
        <v>46087</v>
      </c>
      <c r="E285" t="str">
        <f t="shared" ca="1" si="56"/>
        <v>Allegro</v>
      </c>
      <c r="F285" t="str">
        <f t="shared" ca="1" si="57"/>
        <v>Poland</v>
      </c>
      <c r="G285" t="str">
        <f t="shared" ca="1" si="58"/>
        <v>Warsaw</v>
      </c>
      <c r="H285" t="str">
        <f t="shared" ca="1" si="59"/>
        <v>Rail</v>
      </c>
      <c r="I285" t="str">
        <f t="shared" ca="1" si="60"/>
        <v>Kuehne+Nagel</v>
      </c>
      <c r="J285" t="s">
        <v>316</v>
      </c>
      <c r="K285">
        <f t="shared" ca="1" si="61"/>
        <v>1638</v>
      </c>
      <c r="L285">
        <f t="shared" ca="1" si="62"/>
        <v>1343.16</v>
      </c>
      <c r="M285">
        <f t="shared" ca="1" si="63"/>
        <v>6072</v>
      </c>
      <c r="N285">
        <f t="shared" ca="1" si="64"/>
        <v>262</v>
      </c>
      <c r="O285">
        <f ca="1">Table2[[#This Row],[Delivery Date]]-Table2[[#This Row],[Order date]]</f>
        <v>8</v>
      </c>
      <c r="P285">
        <f ca="1">MAX(0,Table2[[#This Row],[Delivery Date]]-Table2[[#This Row],[Planned Delivery Date]])</f>
        <v>0</v>
      </c>
      <c r="Q285" t="str">
        <f ca="1">IF(Table2[[#This Row],[Delivery Date]]&lt;=Table2[[#This Row],[Planned Delivery Date]],"On Time","Delayed")</f>
        <v>On Time</v>
      </c>
      <c r="R285">
        <f ca="1">Table2[[#This Row],[Revenue]]-Table2[[#This Row],[Transport Cost]]</f>
        <v>294.83999999999992</v>
      </c>
      <c r="S285" s="4">
        <f t="shared" ca="1" si="52"/>
        <v>0.17999999999999994</v>
      </c>
    </row>
    <row r="286" spans="1:19" x14ac:dyDescent="0.2">
      <c r="A286" t="s">
        <v>300</v>
      </c>
      <c r="B286" s="1">
        <f t="shared" ca="1" si="53"/>
        <v>46196</v>
      </c>
      <c r="C286" s="1">
        <f t="shared" ca="1" si="54"/>
        <v>46206</v>
      </c>
      <c r="D286" s="1">
        <f t="shared" ca="1" si="55"/>
        <v>46209</v>
      </c>
      <c r="E286" t="str">
        <f t="shared" ca="1" si="56"/>
        <v>Allegro</v>
      </c>
      <c r="F286" t="str">
        <f t="shared" ca="1" si="57"/>
        <v>Spain</v>
      </c>
      <c r="G286" t="str">
        <f t="shared" ca="1" si="58"/>
        <v>Madrid</v>
      </c>
      <c r="H286" t="str">
        <f t="shared" ca="1" si="59"/>
        <v>Air</v>
      </c>
      <c r="I286" t="str">
        <f t="shared" ca="1" si="60"/>
        <v>DHL</v>
      </c>
      <c r="J286" t="s">
        <v>316</v>
      </c>
      <c r="K286">
        <f t="shared" ca="1" si="61"/>
        <v>2517</v>
      </c>
      <c r="L286">
        <f t="shared" ca="1" si="62"/>
        <v>1485.03</v>
      </c>
      <c r="M286">
        <f t="shared" ca="1" si="63"/>
        <v>59</v>
      </c>
      <c r="N286">
        <f t="shared" ca="1" si="64"/>
        <v>2388</v>
      </c>
      <c r="O286">
        <f ca="1">Table2[[#This Row],[Delivery Date]]-Table2[[#This Row],[Order date]]</f>
        <v>13</v>
      </c>
      <c r="P286">
        <f ca="1">MAX(0,Table2[[#This Row],[Delivery Date]]-Table2[[#This Row],[Planned Delivery Date]])</f>
        <v>3</v>
      </c>
      <c r="Q286" t="str">
        <f ca="1">IF(Table2[[#This Row],[Delivery Date]]&lt;=Table2[[#This Row],[Planned Delivery Date]],"On Time","Delayed")</f>
        <v>Delayed</v>
      </c>
      <c r="R286">
        <f ca="1">Table2[[#This Row],[Revenue]]-Table2[[#This Row],[Transport Cost]]</f>
        <v>1031.97</v>
      </c>
      <c r="S286" s="4">
        <f t="shared" ca="1" si="52"/>
        <v>0.41000000000000003</v>
      </c>
    </row>
    <row r="287" spans="1:19" x14ac:dyDescent="0.2">
      <c r="A287" t="s">
        <v>301</v>
      </c>
      <c r="B287" s="1">
        <f t="shared" ca="1" si="53"/>
        <v>46134</v>
      </c>
      <c r="C287" s="1">
        <f t="shared" ca="1" si="54"/>
        <v>46140</v>
      </c>
      <c r="D287" s="1">
        <f t="shared" ca="1" si="55"/>
        <v>46143</v>
      </c>
      <c r="E287" t="str">
        <f t="shared" ca="1" si="56"/>
        <v>Bosch</v>
      </c>
      <c r="F287" t="str">
        <f t="shared" ca="1" si="57"/>
        <v>Czech Republic</v>
      </c>
      <c r="G287" t="str">
        <f t="shared" ca="1" si="58"/>
        <v>Prague</v>
      </c>
      <c r="H287" t="str">
        <f t="shared" ca="1" si="59"/>
        <v>Rail</v>
      </c>
      <c r="I287" t="str">
        <f t="shared" ca="1" si="60"/>
        <v>Kuehne+Nagel</v>
      </c>
      <c r="J287" t="s">
        <v>316</v>
      </c>
      <c r="K287">
        <f t="shared" ca="1" si="61"/>
        <v>2160</v>
      </c>
      <c r="L287">
        <f t="shared" ca="1" si="62"/>
        <v>1749.6</v>
      </c>
      <c r="M287">
        <f t="shared" ca="1" si="63"/>
        <v>7118</v>
      </c>
      <c r="N287">
        <f t="shared" ca="1" si="64"/>
        <v>547</v>
      </c>
      <c r="O287">
        <f ca="1">Table2[[#This Row],[Delivery Date]]-Table2[[#This Row],[Order date]]</f>
        <v>9</v>
      </c>
      <c r="P287">
        <f ca="1">MAX(0,Table2[[#This Row],[Delivery Date]]-Table2[[#This Row],[Planned Delivery Date]])</f>
        <v>3</v>
      </c>
      <c r="Q287" t="str">
        <f ca="1">IF(Table2[[#This Row],[Delivery Date]]&lt;=Table2[[#This Row],[Planned Delivery Date]],"On Time","Delayed")</f>
        <v>Delayed</v>
      </c>
      <c r="R287">
        <f ca="1">Table2[[#This Row],[Revenue]]-Table2[[#This Row],[Transport Cost]]</f>
        <v>410.40000000000009</v>
      </c>
      <c r="S287" s="4">
        <f t="shared" ca="1" si="52"/>
        <v>0.19000000000000003</v>
      </c>
    </row>
    <row r="288" spans="1:19" x14ac:dyDescent="0.2">
      <c r="A288" t="s">
        <v>302</v>
      </c>
      <c r="B288" s="1">
        <f t="shared" ca="1" si="53"/>
        <v>46110</v>
      </c>
      <c r="C288" s="1">
        <f t="shared" ca="1" si="54"/>
        <v>46118</v>
      </c>
      <c r="D288" s="1">
        <f t="shared" ca="1" si="55"/>
        <v>46117</v>
      </c>
      <c r="E288" t="str">
        <f t="shared" ca="1" si="56"/>
        <v>IKEA</v>
      </c>
      <c r="F288" t="str">
        <f t="shared" ca="1" si="57"/>
        <v>Italy</v>
      </c>
      <c r="G288" t="str">
        <f t="shared" ca="1" si="58"/>
        <v>Rome</v>
      </c>
      <c r="H288" t="str">
        <f t="shared" ca="1" si="59"/>
        <v>Rail</v>
      </c>
      <c r="I288" t="str">
        <f t="shared" ca="1" si="60"/>
        <v>DB Schenker</v>
      </c>
      <c r="J288" t="s">
        <v>316</v>
      </c>
      <c r="K288">
        <f t="shared" ca="1" si="61"/>
        <v>1213</v>
      </c>
      <c r="L288">
        <f t="shared" ca="1" si="62"/>
        <v>703.54</v>
      </c>
      <c r="M288">
        <f t="shared" ca="1" si="63"/>
        <v>9966</v>
      </c>
      <c r="N288">
        <f t="shared" ca="1" si="64"/>
        <v>1423</v>
      </c>
      <c r="O288">
        <f ca="1">Table2[[#This Row],[Delivery Date]]-Table2[[#This Row],[Order date]]</f>
        <v>7</v>
      </c>
      <c r="P288">
        <f ca="1">MAX(0,Table2[[#This Row],[Delivery Date]]-Table2[[#This Row],[Planned Delivery Date]])</f>
        <v>0</v>
      </c>
      <c r="Q288" t="str">
        <f ca="1">IF(Table2[[#This Row],[Delivery Date]]&lt;=Table2[[#This Row],[Planned Delivery Date]],"On Time","Delayed")</f>
        <v>On Time</v>
      </c>
      <c r="R288">
        <f ca="1">Table2[[#This Row],[Revenue]]-Table2[[#This Row],[Transport Cost]]</f>
        <v>509.46000000000004</v>
      </c>
      <c r="S288" s="4">
        <f t="shared" ca="1" si="52"/>
        <v>0.42000000000000004</v>
      </c>
    </row>
    <row r="289" spans="1:19" x14ac:dyDescent="0.2">
      <c r="A289" t="s">
        <v>303</v>
      </c>
      <c r="B289" s="1">
        <f t="shared" ca="1" si="53"/>
        <v>46041</v>
      </c>
      <c r="C289" s="1">
        <f t="shared" ca="1" si="54"/>
        <v>46045</v>
      </c>
      <c r="D289" s="1">
        <f t="shared" ca="1" si="55"/>
        <v>46050</v>
      </c>
      <c r="E289" t="str">
        <f t="shared" ca="1" si="56"/>
        <v>Allegro</v>
      </c>
      <c r="F289" t="str">
        <f t="shared" ca="1" si="57"/>
        <v>Spain</v>
      </c>
      <c r="G289" t="str">
        <f t="shared" ca="1" si="58"/>
        <v>Madrid</v>
      </c>
      <c r="H289" t="str">
        <f t="shared" ca="1" si="59"/>
        <v>Rail</v>
      </c>
      <c r="I289" t="str">
        <f t="shared" ca="1" si="60"/>
        <v>DB Schenker</v>
      </c>
      <c r="J289" t="s">
        <v>316</v>
      </c>
      <c r="K289">
        <f t="shared" ca="1" si="61"/>
        <v>2073</v>
      </c>
      <c r="L289">
        <f t="shared" ca="1" si="62"/>
        <v>1513.29</v>
      </c>
      <c r="M289">
        <f t="shared" ca="1" si="63"/>
        <v>1485</v>
      </c>
      <c r="N289">
        <f t="shared" ca="1" si="64"/>
        <v>2309</v>
      </c>
      <c r="O289">
        <f ca="1">Table2[[#This Row],[Delivery Date]]-Table2[[#This Row],[Order date]]</f>
        <v>9</v>
      </c>
      <c r="P289">
        <f ca="1">MAX(0,Table2[[#This Row],[Delivery Date]]-Table2[[#This Row],[Planned Delivery Date]])</f>
        <v>5</v>
      </c>
      <c r="Q289" t="str">
        <f ca="1">IF(Table2[[#This Row],[Delivery Date]]&lt;=Table2[[#This Row],[Planned Delivery Date]],"On Time","Delayed")</f>
        <v>Delayed</v>
      </c>
      <c r="R289">
        <f ca="1">Table2[[#This Row],[Revenue]]-Table2[[#This Row],[Transport Cost]]</f>
        <v>559.71</v>
      </c>
      <c r="S289" s="4">
        <f t="shared" ca="1" si="52"/>
        <v>0.27</v>
      </c>
    </row>
    <row r="290" spans="1:19" x14ac:dyDescent="0.2">
      <c r="A290" t="s">
        <v>304</v>
      </c>
      <c r="B290" s="1">
        <f t="shared" ca="1" si="53"/>
        <v>46172</v>
      </c>
      <c r="C290" s="1">
        <f t="shared" ca="1" si="54"/>
        <v>46180</v>
      </c>
      <c r="D290" s="1">
        <f t="shared" ca="1" si="55"/>
        <v>46179</v>
      </c>
      <c r="E290" t="str">
        <f t="shared" ca="1" si="56"/>
        <v>Bosch</v>
      </c>
      <c r="F290" t="str">
        <f t="shared" ca="1" si="57"/>
        <v>Poland</v>
      </c>
      <c r="G290" t="str">
        <f t="shared" ca="1" si="58"/>
        <v>Warsaw</v>
      </c>
      <c r="H290" t="str">
        <f t="shared" ca="1" si="59"/>
        <v>Road</v>
      </c>
      <c r="I290" t="str">
        <f t="shared" ca="1" si="60"/>
        <v>DHL</v>
      </c>
      <c r="J290" t="s">
        <v>316</v>
      </c>
      <c r="K290">
        <f t="shared" ca="1" si="61"/>
        <v>624</v>
      </c>
      <c r="L290">
        <f t="shared" ca="1" si="62"/>
        <v>424.32</v>
      </c>
      <c r="M290">
        <f t="shared" ca="1" si="63"/>
        <v>4456</v>
      </c>
      <c r="N290">
        <f t="shared" ca="1" si="64"/>
        <v>191</v>
      </c>
      <c r="O290">
        <f ca="1">Table2[[#This Row],[Delivery Date]]-Table2[[#This Row],[Order date]]</f>
        <v>7</v>
      </c>
      <c r="P290">
        <f ca="1">MAX(0,Table2[[#This Row],[Delivery Date]]-Table2[[#This Row],[Planned Delivery Date]])</f>
        <v>0</v>
      </c>
      <c r="Q290" t="str">
        <f ca="1">IF(Table2[[#This Row],[Delivery Date]]&lt;=Table2[[#This Row],[Planned Delivery Date]],"On Time","Delayed")</f>
        <v>On Time</v>
      </c>
      <c r="R290">
        <f ca="1">Table2[[#This Row],[Revenue]]-Table2[[#This Row],[Transport Cost]]</f>
        <v>199.68</v>
      </c>
      <c r="S290" s="4">
        <f t="shared" ca="1" si="52"/>
        <v>0.32</v>
      </c>
    </row>
    <row r="291" spans="1:19" x14ac:dyDescent="0.2">
      <c r="A291" t="s">
        <v>305</v>
      </c>
      <c r="B291" s="1">
        <f t="shared" ca="1" si="53"/>
        <v>46037</v>
      </c>
      <c r="C291" s="1">
        <f t="shared" ca="1" si="54"/>
        <v>46043</v>
      </c>
      <c r="D291" s="1">
        <f t="shared" ca="1" si="55"/>
        <v>46046</v>
      </c>
      <c r="E291" t="str">
        <f t="shared" ca="1" si="56"/>
        <v>Zara</v>
      </c>
      <c r="F291" t="str">
        <f t="shared" ca="1" si="57"/>
        <v>Poland</v>
      </c>
      <c r="G291" t="str">
        <f t="shared" ca="1" si="58"/>
        <v>Gdansk</v>
      </c>
      <c r="H291" t="str">
        <f t="shared" ca="1" si="59"/>
        <v>Sea</v>
      </c>
      <c r="I291" t="str">
        <f t="shared" ca="1" si="60"/>
        <v>Kuehne+Nagel</v>
      </c>
      <c r="J291" t="s">
        <v>316</v>
      </c>
      <c r="K291">
        <f t="shared" ca="1" si="61"/>
        <v>2265</v>
      </c>
      <c r="L291">
        <f t="shared" ca="1" si="62"/>
        <v>1449.6</v>
      </c>
      <c r="M291">
        <f t="shared" ca="1" si="63"/>
        <v>14076</v>
      </c>
      <c r="N291">
        <f t="shared" ca="1" si="64"/>
        <v>297</v>
      </c>
      <c r="O291">
        <f ca="1">Table2[[#This Row],[Delivery Date]]-Table2[[#This Row],[Order date]]</f>
        <v>9</v>
      </c>
      <c r="P291">
        <f ca="1">MAX(0,Table2[[#This Row],[Delivery Date]]-Table2[[#This Row],[Planned Delivery Date]])</f>
        <v>3</v>
      </c>
      <c r="Q291" t="str">
        <f ca="1">IF(Table2[[#This Row],[Delivery Date]]&lt;=Table2[[#This Row],[Planned Delivery Date]],"On Time","Delayed")</f>
        <v>Delayed</v>
      </c>
      <c r="R291">
        <f ca="1">Table2[[#This Row],[Revenue]]-Table2[[#This Row],[Transport Cost]]</f>
        <v>815.40000000000009</v>
      </c>
      <c r="S291" s="4">
        <f t="shared" ca="1" si="52"/>
        <v>0.36000000000000004</v>
      </c>
    </row>
    <row r="292" spans="1:19" x14ac:dyDescent="0.2">
      <c r="A292" t="s">
        <v>306</v>
      </c>
      <c r="B292" s="1">
        <f t="shared" ca="1" si="53"/>
        <v>46073</v>
      </c>
      <c r="C292" s="1">
        <f t="shared" ca="1" si="54"/>
        <v>46079</v>
      </c>
      <c r="D292" s="1">
        <f t="shared" ca="1" si="55"/>
        <v>46081</v>
      </c>
      <c r="E292" t="str">
        <f t="shared" ca="1" si="56"/>
        <v>IKEA</v>
      </c>
      <c r="F292" t="str">
        <f t="shared" ca="1" si="57"/>
        <v>France</v>
      </c>
      <c r="G292" t="str">
        <f t="shared" ca="1" si="58"/>
        <v>Paris</v>
      </c>
      <c r="H292" t="str">
        <f t="shared" ca="1" si="59"/>
        <v>Sea</v>
      </c>
      <c r="I292" t="str">
        <f t="shared" ca="1" si="60"/>
        <v>Maersk</v>
      </c>
      <c r="J292" t="s">
        <v>316</v>
      </c>
      <c r="K292">
        <f t="shared" ca="1" si="61"/>
        <v>2588</v>
      </c>
      <c r="L292">
        <f t="shared" ca="1" si="62"/>
        <v>2018.64</v>
      </c>
      <c r="M292">
        <f t="shared" ca="1" si="63"/>
        <v>2556</v>
      </c>
      <c r="N292">
        <f t="shared" ca="1" si="64"/>
        <v>1590</v>
      </c>
      <c r="O292">
        <f ca="1">Table2[[#This Row],[Delivery Date]]-Table2[[#This Row],[Order date]]</f>
        <v>8</v>
      </c>
      <c r="P292">
        <f ca="1">MAX(0,Table2[[#This Row],[Delivery Date]]-Table2[[#This Row],[Planned Delivery Date]])</f>
        <v>2</v>
      </c>
      <c r="Q292" t="str">
        <f ca="1">IF(Table2[[#This Row],[Delivery Date]]&lt;=Table2[[#This Row],[Planned Delivery Date]],"On Time","Delayed")</f>
        <v>Delayed</v>
      </c>
      <c r="R292">
        <f ca="1">Table2[[#This Row],[Revenue]]-Table2[[#This Row],[Transport Cost]]</f>
        <v>569.3599999999999</v>
      </c>
      <c r="S292" s="4">
        <f t="shared" ca="1" si="52"/>
        <v>0.21999999999999997</v>
      </c>
    </row>
    <row r="293" spans="1:19" x14ac:dyDescent="0.2">
      <c r="A293" t="s">
        <v>307</v>
      </c>
      <c r="B293" s="1">
        <f t="shared" ca="1" si="53"/>
        <v>46158</v>
      </c>
      <c r="C293" s="1">
        <f t="shared" ca="1" si="54"/>
        <v>46162</v>
      </c>
      <c r="D293" s="1">
        <f t="shared" ca="1" si="55"/>
        <v>46162</v>
      </c>
      <c r="E293" t="str">
        <f t="shared" ca="1" si="56"/>
        <v>Samsung</v>
      </c>
      <c r="F293" t="str">
        <f t="shared" ca="1" si="57"/>
        <v>Poland</v>
      </c>
      <c r="G293" t="str">
        <f t="shared" ca="1" si="58"/>
        <v>Krakow</v>
      </c>
      <c r="H293" t="str">
        <f t="shared" ca="1" si="59"/>
        <v>Sea</v>
      </c>
      <c r="I293" t="str">
        <f t="shared" ca="1" si="60"/>
        <v>Kuehne+Nagel</v>
      </c>
      <c r="J293" t="s">
        <v>316</v>
      </c>
      <c r="K293">
        <f t="shared" ca="1" si="61"/>
        <v>2286</v>
      </c>
      <c r="L293">
        <f t="shared" ca="1" si="62"/>
        <v>1554.48</v>
      </c>
      <c r="M293">
        <f t="shared" ca="1" si="63"/>
        <v>10922</v>
      </c>
      <c r="N293">
        <f t="shared" ca="1" si="64"/>
        <v>240</v>
      </c>
      <c r="O293">
        <f ca="1">Table2[[#This Row],[Delivery Date]]-Table2[[#This Row],[Order date]]</f>
        <v>4</v>
      </c>
      <c r="P293">
        <f ca="1">MAX(0,Table2[[#This Row],[Delivery Date]]-Table2[[#This Row],[Planned Delivery Date]])</f>
        <v>0</v>
      </c>
      <c r="Q293" t="str">
        <f ca="1">IF(Table2[[#This Row],[Delivery Date]]&lt;=Table2[[#This Row],[Planned Delivery Date]],"On Time","Delayed")</f>
        <v>On Time</v>
      </c>
      <c r="R293">
        <f ca="1">Table2[[#This Row],[Revenue]]-Table2[[#This Row],[Transport Cost]]</f>
        <v>731.52</v>
      </c>
      <c r="S293" s="4">
        <f t="shared" ca="1" si="52"/>
        <v>0.32</v>
      </c>
    </row>
    <row r="294" spans="1:19" x14ac:dyDescent="0.2">
      <c r="A294" t="s">
        <v>308</v>
      </c>
      <c r="B294" s="1">
        <f t="shared" ca="1" si="53"/>
        <v>46140</v>
      </c>
      <c r="C294" s="1">
        <f t="shared" ca="1" si="54"/>
        <v>46148</v>
      </c>
      <c r="D294" s="1">
        <f t="shared" ca="1" si="55"/>
        <v>46147</v>
      </c>
      <c r="E294" t="str">
        <f t="shared" ca="1" si="56"/>
        <v>Philips</v>
      </c>
      <c r="F294" t="str">
        <f t="shared" ca="1" si="57"/>
        <v>France</v>
      </c>
      <c r="G294" t="str">
        <f t="shared" ca="1" si="58"/>
        <v>Lyon</v>
      </c>
      <c r="H294" t="str">
        <f t="shared" ca="1" si="59"/>
        <v>Air</v>
      </c>
      <c r="I294" t="str">
        <f t="shared" ca="1" si="60"/>
        <v>UPS</v>
      </c>
      <c r="J294" t="s">
        <v>316</v>
      </c>
      <c r="K294">
        <f t="shared" ca="1" si="61"/>
        <v>4683</v>
      </c>
      <c r="L294">
        <f t="shared" ca="1" si="62"/>
        <v>3231.27</v>
      </c>
      <c r="M294">
        <f t="shared" ca="1" si="63"/>
        <v>196</v>
      </c>
      <c r="N294">
        <f t="shared" ca="1" si="64"/>
        <v>1432</v>
      </c>
      <c r="O294">
        <f ca="1">Table2[[#This Row],[Delivery Date]]-Table2[[#This Row],[Order date]]</f>
        <v>7</v>
      </c>
      <c r="P294">
        <f ca="1">MAX(0,Table2[[#This Row],[Delivery Date]]-Table2[[#This Row],[Planned Delivery Date]])</f>
        <v>0</v>
      </c>
      <c r="Q294" t="str">
        <f ca="1">IF(Table2[[#This Row],[Delivery Date]]&lt;=Table2[[#This Row],[Planned Delivery Date]],"On Time","Delayed")</f>
        <v>On Time</v>
      </c>
      <c r="R294">
        <f ca="1">Table2[[#This Row],[Revenue]]-Table2[[#This Row],[Transport Cost]]</f>
        <v>1451.73</v>
      </c>
      <c r="S294" s="4">
        <f t="shared" ca="1" si="52"/>
        <v>0.31</v>
      </c>
    </row>
    <row r="295" spans="1:19" x14ac:dyDescent="0.2">
      <c r="A295" t="s">
        <v>309</v>
      </c>
      <c r="B295" s="1">
        <f t="shared" ca="1" si="53"/>
        <v>46168</v>
      </c>
      <c r="C295" s="1">
        <f t="shared" ca="1" si="54"/>
        <v>46176</v>
      </c>
      <c r="D295" s="1">
        <f t="shared" ca="1" si="55"/>
        <v>46175</v>
      </c>
      <c r="E295" t="str">
        <f t="shared" ca="1" si="56"/>
        <v>Philips</v>
      </c>
      <c r="F295" t="str">
        <f t="shared" ca="1" si="57"/>
        <v>France</v>
      </c>
      <c r="G295" t="str">
        <f t="shared" ca="1" si="58"/>
        <v>Paris</v>
      </c>
      <c r="H295" t="str">
        <f t="shared" ca="1" si="59"/>
        <v>Air</v>
      </c>
      <c r="I295" t="str">
        <f t="shared" ca="1" si="60"/>
        <v>UPS</v>
      </c>
      <c r="J295" t="s">
        <v>316</v>
      </c>
      <c r="K295">
        <f t="shared" ca="1" si="61"/>
        <v>4934</v>
      </c>
      <c r="L295">
        <f t="shared" ca="1" si="62"/>
        <v>3601.82</v>
      </c>
      <c r="M295">
        <f t="shared" ca="1" si="63"/>
        <v>673</v>
      </c>
      <c r="N295">
        <f t="shared" ca="1" si="64"/>
        <v>1712</v>
      </c>
      <c r="O295">
        <f ca="1">Table2[[#This Row],[Delivery Date]]-Table2[[#This Row],[Order date]]</f>
        <v>7</v>
      </c>
      <c r="P295">
        <f ca="1">MAX(0,Table2[[#This Row],[Delivery Date]]-Table2[[#This Row],[Planned Delivery Date]])</f>
        <v>0</v>
      </c>
      <c r="Q295" t="str">
        <f ca="1">IF(Table2[[#This Row],[Delivery Date]]&lt;=Table2[[#This Row],[Planned Delivery Date]],"On Time","Delayed")</f>
        <v>On Time</v>
      </c>
      <c r="R295">
        <f ca="1">Table2[[#This Row],[Revenue]]-Table2[[#This Row],[Transport Cost]]</f>
        <v>1332.1799999999998</v>
      </c>
      <c r="S295" s="4">
        <f t="shared" ca="1" si="52"/>
        <v>0.26999999999999996</v>
      </c>
    </row>
    <row r="296" spans="1:19" x14ac:dyDescent="0.2">
      <c r="A296" t="s">
        <v>310</v>
      </c>
      <c r="B296" s="1">
        <f t="shared" ca="1" si="53"/>
        <v>46174</v>
      </c>
      <c r="C296" s="1">
        <f t="shared" ca="1" si="54"/>
        <v>46176</v>
      </c>
      <c r="D296" s="1">
        <f t="shared" ca="1" si="55"/>
        <v>46177</v>
      </c>
      <c r="E296" t="str">
        <f t="shared" ca="1" si="56"/>
        <v>Allegro</v>
      </c>
      <c r="F296" t="str">
        <f t="shared" ca="1" si="57"/>
        <v>Spain</v>
      </c>
      <c r="G296" t="str">
        <f t="shared" ca="1" si="58"/>
        <v>Madrid</v>
      </c>
      <c r="H296" t="str">
        <f t="shared" ca="1" si="59"/>
        <v>Road</v>
      </c>
      <c r="I296" t="str">
        <f t="shared" ca="1" si="60"/>
        <v>GLS</v>
      </c>
      <c r="J296" t="s">
        <v>316</v>
      </c>
      <c r="K296">
        <f t="shared" ca="1" si="61"/>
        <v>718</v>
      </c>
      <c r="L296">
        <f t="shared" ca="1" si="62"/>
        <v>610.29999999999995</v>
      </c>
      <c r="M296">
        <f t="shared" ca="1" si="63"/>
        <v>2931</v>
      </c>
      <c r="N296">
        <f t="shared" ca="1" si="64"/>
        <v>2338</v>
      </c>
      <c r="O296">
        <f ca="1">Table2[[#This Row],[Delivery Date]]-Table2[[#This Row],[Order date]]</f>
        <v>3</v>
      </c>
      <c r="P296">
        <f ca="1">MAX(0,Table2[[#This Row],[Delivery Date]]-Table2[[#This Row],[Planned Delivery Date]])</f>
        <v>1</v>
      </c>
      <c r="Q296" t="str">
        <f ca="1">IF(Table2[[#This Row],[Delivery Date]]&lt;=Table2[[#This Row],[Planned Delivery Date]],"On Time","Delayed")</f>
        <v>Delayed</v>
      </c>
      <c r="R296">
        <f ca="1">Table2[[#This Row],[Revenue]]-Table2[[#This Row],[Transport Cost]]</f>
        <v>107.70000000000005</v>
      </c>
      <c r="S296" s="4">
        <f t="shared" ca="1" si="52"/>
        <v>0.15000000000000005</v>
      </c>
    </row>
    <row r="297" spans="1:19" x14ac:dyDescent="0.2">
      <c r="A297" t="s">
        <v>311</v>
      </c>
      <c r="B297" s="1">
        <f t="shared" ca="1" si="53"/>
        <v>46115</v>
      </c>
      <c r="C297" s="1">
        <f t="shared" ca="1" si="54"/>
        <v>46121</v>
      </c>
      <c r="D297" s="1">
        <f t="shared" ca="1" si="55"/>
        <v>46121</v>
      </c>
      <c r="E297" t="str">
        <f t="shared" ca="1" si="56"/>
        <v>Allegro</v>
      </c>
      <c r="F297" t="str">
        <f t="shared" ca="1" si="57"/>
        <v>Czech Republic</v>
      </c>
      <c r="G297" t="str">
        <f t="shared" ca="1" si="58"/>
        <v>Prague</v>
      </c>
      <c r="H297" t="str">
        <f t="shared" ca="1" si="59"/>
        <v>Rail</v>
      </c>
      <c r="I297" t="str">
        <f t="shared" ca="1" si="60"/>
        <v>DB Schenker</v>
      </c>
      <c r="J297" t="s">
        <v>316</v>
      </c>
      <c r="K297">
        <f t="shared" ca="1" si="61"/>
        <v>1262</v>
      </c>
      <c r="L297">
        <f t="shared" ca="1" si="62"/>
        <v>1072.7</v>
      </c>
      <c r="M297">
        <f t="shared" ca="1" si="63"/>
        <v>4449</v>
      </c>
      <c r="N297">
        <f t="shared" ca="1" si="64"/>
        <v>713</v>
      </c>
      <c r="O297">
        <f ca="1">Table2[[#This Row],[Delivery Date]]-Table2[[#This Row],[Order date]]</f>
        <v>6</v>
      </c>
      <c r="P297">
        <f ca="1">MAX(0,Table2[[#This Row],[Delivery Date]]-Table2[[#This Row],[Planned Delivery Date]])</f>
        <v>0</v>
      </c>
      <c r="Q297" t="str">
        <f ca="1">IF(Table2[[#This Row],[Delivery Date]]&lt;=Table2[[#This Row],[Planned Delivery Date]],"On Time","Delayed")</f>
        <v>On Time</v>
      </c>
      <c r="R297">
        <f ca="1">Table2[[#This Row],[Revenue]]-Table2[[#This Row],[Transport Cost]]</f>
        <v>189.29999999999995</v>
      </c>
      <c r="S297" s="4">
        <f t="shared" ca="1" si="52"/>
        <v>0.14999999999999997</v>
      </c>
    </row>
    <row r="298" spans="1:19" x14ac:dyDescent="0.2">
      <c r="A298" t="s">
        <v>312</v>
      </c>
      <c r="B298" s="1">
        <f t="shared" ca="1" si="53"/>
        <v>46026</v>
      </c>
      <c r="C298" s="1">
        <f t="shared" ca="1" si="54"/>
        <v>46035</v>
      </c>
      <c r="D298" s="1">
        <f t="shared" ca="1" si="55"/>
        <v>46034</v>
      </c>
      <c r="E298" t="str">
        <f t="shared" ca="1" si="56"/>
        <v>Philips</v>
      </c>
      <c r="F298" t="str">
        <f t="shared" ca="1" si="57"/>
        <v>Poland</v>
      </c>
      <c r="G298" t="str">
        <f t="shared" ca="1" si="58"/>
        <v>Gdansk</v>
      </c>
      <c r="H298" t="str">
        <f t="shared" ca="1" si="59"/>
        <v>Sea</v>
      </c>
      <c r="I298" t="str">
        <f t="shared" ca="1" si="60"/>
        <v>Maersk</v>
      </c>
      <c r="J298" t="s">
        <v>316</v>
      </c>
      <c r="K298">
        <f t="shared" ca="1" si="61"/>
        <v>2513</v>
      </c>
      <c r="L298">
        <f t="shared" ca="1" si="62"/>
        <v>1532.93</v>
      </c>
      <c r="M298">
        <f t="shared" ca="1" si="63"/>
        <v>5908</v>
      </c>
      <c r="N298">
        <f t="shared" ca="1" si="64"/>
        <v>554</v>
      </c>
      <c r="O298">
        <f ca="1">Table2[[#This Row],[Delivery Date]]-Table2[[#This Row],[Order date]]</f>
        <v>8</v>
      </c>
      <c r="P298">
        <f ca="1">MAX(0,Table2[[#This Row],[Delivery Date]]-Table2[[#This Row],[Planned Delivery Date]])</f>
        <v>0</v>
      </c>
      <c r="Q298" t="str">
        <f ca="1">IF(Table2[[#This Row],[Delivery Date]]&lt;=Table2[[#This Row],[Planned Delivery Date]],"On Time","Delayed")</f>
        <v>On Time</v>
      </c>
      <c r="R298">
        <f ca="1">Table2[[#This Row],[Revenue]]-Table2[[#This Row],[Transport Cost]]</f>
        <v>980.06999999999994</v>
      </c>
      <c r="S298" s="4">
        <f t="shared" ca="1" si="52"/>
        <v>0.38999999999999996</v>
      </c>
    </row>
    <row r="299" spans="1:19" x14ac:dyDescent="0.2">
      <c r="A299" t="s">
        <v>313</v>
      </c>
      <c r="B299" s="1">
        <f t="shared" ca="1" si="53"/>
        <v>46158</v>
      </c>
      <c r="C299" s="1">
        <f t="shared" ca="1" si="54"/>
        <v>46163</v>
      </c>
      <c r="D299" s="1">
        <f t="shared" ca="1" si="55"/>
        <v>46164</v>
      </c>
      <c r="E299" t="str">
        <f t="shared" ca="1" si="56"/>
        <v>H&amp;M</v>
      </c>
      <c r="F299" t="str">
        <f t="shared" ca="1" si="57"/>
        <v>Czech Republic</v>
      </c>
      <c r="G299" t="str">
        <f t="shared" ca="1" si="58"/>
        <v>Prague</v>
      </c>
      <c r="H299" t="str">
        <f t="shared" ca="1" si="59"/>
        <v>Rail</v>
      </c>
      <c r="I299" t="str">
        <f t="shared" ca="1" si="60"/>
        <v>Kuehne+Nagel</v>
      </c>
      <c r="J299" t="s">
        <v>316</v>
      </c>
      <c r="K299">
        <f t="shared" ca="1" si="61"/>
        <v>2207</v>
      </c>
      <c r="L299">
        <f t="shared" ca="1" si="62"/>
        <v>1589.04</v>
      </c>
      <c r="M299">
        <f t="shared" ca="1" si="63"/>
        <v>8747</v>
      </c>
      <c r="N299">
        <f t="shared" ca="1" si="64"/>
        <v>693</v>
      </c>
      <c r="O299">
        <f ca="1">Table2[[#This Row],[Delivery Date]]-Table2[[#This Row],[Order date]]</f>
        <v>6</v>
      </c>
      <c r="P299">
        <f ca="1">MAX(0,Table2[[#This Row],[Delivery Date]]-Table2[[#This Row],[Planned Delivery Date]])</f>
        <v>1</v>
      </c>
      <c r="Q299" t="str">
        <f ca="1">IF(Table2[[#This Row],[Delivery Date]]&lt;=Table2[[#This Row],[Planned Delivery Date]],"On Time","Delayed")</f>
        <v>Delayed</v>
      </c>
      <c r="R299">
        <f ca="1">Table2[[#This Row],[Revenue]]-Table2[[#This Row],[Transport Cost]]</f>
        <v>617.96</v>
      </c>
      <c r="S299" s="4">
        <f t="shared" ca="1" si="52"/>
        <v>0.28000000000000003</v>
      </c>
    </row>
    <row r="300" spans="1:19" x14ac:dyDescent="0.2">
      <c r="A300" t="s">
        <v>314</v>
      </c>
      <c r="B300" s="1">
        <f t="shared" ca="1" si="53"/>
        <v>46144</v>
      </c>
      <c r="C300" s="1">
        <f t="shared" ca="1" si="54"/>
        <v>46150</v>
      </c>
      <c r="D300" s="1">
        <f t="shared" ca="1" si="55"/>
        <v>46151</v>
      </c>
      <c r="E300" t="str">
        <f t="shared" ca="1" si="56"/>
        <v>Samsung</v>
      </c>
      <c r="F300" t="str">
        <f t="shared" ca="1" si="57"/>
        <v>Czech Republic</v>
      </c>
      <c r="G300" t="str">
        <f t="shared" ca="1" si="58"/>
        <v>Prague</v>
      </c>
      <c r="H300" t="str">
        <f t="shared" ca="1" si="59"/>
        <v>Rail</v>
      </c>
      <c r="I300" t="str">
        <f t="shared" ca="1" si="60"/>
        <v>Kuehne+Nagel</v>
      </c>
      <c r="J300" t="s">
        <v>316</v>
      </c>
      <c r="K300">
        <f t="shared" ca="1" si="61"/>
        <v>2826</v>
      </c>
      <c r="L300">
        <f t="shared" ca="1" si="62"/>
        <v>2402.1</v>
      </c>
      <c r="M300">
        <f t="shared" ca="1" si="63"/>
        <v>5484</v>
      </c>
      <c r="N300">
        <f t="shared" ca="1" si="64"/>
        <v>551</v>
      </c>
      <c r="O300">
        <f ca="1">Table2[[#This Row],[Delivery Date]]-Table2[[#This Row],[Order date]]</f>
        <v>7</v>
      </c>
      <c r="P300">
        <f ca="1">MAX(0,Table2[[#This Row],[Delivery Date]]-Table2[[#This Row],[Planned Delivery Date]])</f>
        <v>1</v>
      </c>
      <c r="Q300" t="str">
        <f ca="1">IF(Table2[[#This Row],[Delivery Date]]&lt;=Table2[[#This Row],[Planned Delivery Date]],"On Time","Delayed")</f>
        <v>Delayed</v>
      </c>
      <c r="R300">
        <f ca="1">Table2[[#This Row],[Revenue]]-Table2[[#This Row],[Transport Cost]]</f>
        <v>423.90000000000009</v>
      </c>
      <c r="S300" s="4">
        <f t="shared" ca="1" si="52"/>
        <v>0.15000000000000002</v>
      </c>
    </row>
    <row r="301" spans="1:19" x14ac:dyDescent="0.2">
      <c r="A301" t="s">
        <v>315</v>
      </c>
      <c r="B301" s="1">
        <f t="shared" ca="1" si="53"/>
        <v>46188</v>
      </c>
      <c r="C301" s="1">
        <f t="shared" ca="1" si="54"/>
        <v>46196</v>
      </c>
      <c r="D301" s="1">
        <f t="shared" ca="1" si="55"/>
        <v>46195</v>
      </c>
      <c r="E301" t="str">
        <f t="shared" ca="1" si="56"/>
        <v>Philips</v>
      </c>
      <c r="F301" t="str">
        <f t="shared" ca="1" si="57"/>
        <v>Spain</v>
      </c>
      <c r="G301" t="str">
        <f t="shared" ca="1" si="58"/>
        <v>Madrid</v>
      </c>
      <c r="H301" t="str">
        <f t="shared" ca="1" si="59"/>
        <v>Air</v>
      </c>
      <c r="I301" t="str">
        <f t="shared" ca="1" si="60"/>
        <v>UPS</v>
      </c>
      <c r="J301" t="s">
        <v>316</v>
      </c>
      <c r="K301">
        <f t="shared" ca="1" si="61"/>
        <v>2856</v>
      </c>
      <c r="L301">
        <f t="shared" ca="1" si="62"/>
        <v>2084.88</v>
      </c>
      <c r="M301">
        <f t="shared" ca="1" si="63"/>
        <v>467</v>
      </c>
      <c r="N301">
        <f t="shared" ca="1" si="64"/>
        <v>2053</v>
      </c>
      <c r="O301">
        <f ca="1">Table2[[#This Row],[Delivery Date]]-Table2[[#This Row],[Order date]]</f>
        <v>7</v>
      </c>
      <c r="P301">
        <f ca="1">MAX(0,Table2[[#This Row],[Delivery Date]]-Table2[[#This Row],[Planned Delivery Date]])</f>
        <v>0</v>
      </c>
      <c r="Q301" t="str">
        <f ca="1">IF(Table2[[#This Row],[Delivery Date]]&lt;=Table2[[#This Row],[Planned Delivery Date]],"On Time","Delayed")</f>
        <v>On Time</v>
      </c>
      <c r="R301">
        <f ca="1">Table2[[#This Row],[Revenue]]-Table2[[#This Row],[Transport Cost]]</f>
        <v>771.11999999999989</v>
      </c>
      <c r="S301" s="4">
        <f t="shared" ca="1" si="52"/>
        <v>0.26999999999999996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 Mitina</dc:creator>
  <cp:lastModifiedBy>Daria Mitina</cp:lastModifiedBy>
  <dcterms:created xsi:type="dcterms:W3CDTF">2026-08-20T05:12:38Z</dcterms:created>
  <dcterms:modified xsi:type="dcterms:W3CDTF">2026-08-20T08:05:20Z</dcterms:modified>
</cp:coreProperties>
</file>